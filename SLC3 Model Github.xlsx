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cou\OneDrive\Documentos\"/>
    </mc:Choice>
  </mc:AlternateContent>
  <xr:revisionPtr revIDLastSave="0" documentId="8_{C8040F4F-5AE7-46C4-BC29-AFA3BA46B6D4}" xr6:coauthVersionLast="47" xr6:coauthVersionMax="47" xr10:uidLastSave="{00000000-0000-0000-0000-000000000000}"/>
  <bookViews>
    <workbookView xWindow="-120" yWindow="-120" windowWidth="38640" windowHeight="15720" firstSheet="1" activeTab="1" xr2:uid="{C0C8ED67-59D9-428F-9045-9206C37E28A8}"/>
  </bookViews>
  <sheets>
    <sheet name="Sheet1" sheetId="1" r:id="rId1"/>
    <sheet name="Cover" sheetId="13" r:id="rId2"/>
    <sheet name="DCF" sheetId="2" r:id="rId3"/>
    <sheet name="Income Statement" sheetId="4" r:id="rId4"/>
    <sheet name="Planted Area" sheetId="6" r:id="rId5"/>
    <sheet name="Income by Crop" sheetId="5" r:id="rId6"/>
    <sheet name="CoE" sheetId="3" r:id="rId7"/>
    <sheet name="Balance Sheet" sheetId="8" r:id="rId8"/>
    <sheet name="▲ PPE" sheetId="7" r:id="rId9"/>
  </sheets>
  <definedNames>
    <definedName name="AdicoesLR">#REF!</definedName>
    <definedName name="AjNegativosRTT">#REF!</definedName>
    <definedName name="AjPositivosRTT">#REF!</definedName>
    <definedName name="Ano">#REF!</definedName>
    <definedName name="Dia">#REF!</definedName>
    <definedName name="Empresas">#REF!</definedName>
    <definedName name="ExclusoesLR">#REF!</definedName>
    <definedName name="Mês">#REF!</definedName>
    <definedName name="ReconImp">#REF!</definedName>
    <definedName name="WACC">DCF!$B$20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3" i="2" l="1"/>
  <c r="B38" i="2" s="1"/>
  <c r="B34" i="2"/>
  <c r="AG138" i="7"/>
  <c r="S36" i="6"/>
  <c r="S54" i="6"/>
  <c r="R54" i="6"/>
  <c r="Q54" i="6"/>
  <c r="P54" i="6"/>
  <c r="O54" i="6"/>
  <c r="B77" i="6"/>
  <c r="C77" i="6"/>
  <c r="D77" i="6"/>
  <c r="E77" i="6"/>
  <c r="F77" i="6"/>
  <c r="G77" i="6"/>
  <c r="H77" i="6"/>
  <c r="I77" i="6"/>
  <c r="J77" i="6"/>
  <c r="K77" i="6"/>
  <c r="L77" i="6"/>
  <c r="M77" i="6"/>
  <c r="N77" i="6"/>
  <c r="B83" i="6"/>
  <c r="C83" i="6"/>
  <c r="D83" i="6"/>
  <c r="E83" i="6"/>
  <c r="F83" i="6"/>
  <c r="G83" i="6"/>
  <c r="H83" i="6"/>
  <c r="H85" i="6" s="1"/>
  <c r="I83" i="6"/>
  <c r="J83" i="6"/>
  <c r="K83" i="6"/>
  <c r="L83" i="6"/>
  <c r="M83" i="6"/>
  <c r="N83" i="6"/>
  <c r="B85" i="6"/>
  <c r="C85" i="6"/>
  <c r="D85" i="6"/>
  <c r="E85" i="6"/>
  <c r="F85" i="6"/>
  <c r="G85" i="6"/>
  <c r="G86" i="6" s="1"/>
  <c r="I85" i="6"/>
  <c r="J85" i="6"/>
  <c r="K85" i="6"/>
  <c r="L85" i="6"/>
  <c r="M85" i="6"/>
  <c r="N85" i="6"/>
  <c r="C86" i="6"/>
  <c r="D86" i="6"/>
  <c r="E86" i="6"/>
  <c r="F86" i="6"/>
  <c r="L86" i="6"/>
  <c r="M86" i="6"/>
  <c r="N86" i="6"/>
  <c r="S13" i="5"/>
  <c r="R13" i="5"/>
  <c r="Q13" i="5"/>
  <c r="P13" i="5"/>
  <c r="O13" i="5"/>
  <c r="B71" i="4"/>
  <c r="B69" i="4"/>
  <c r="N71" i="4"/>
  <c r="C71" i="4"/>
  <c r="S8" i="3"/>
  <c r="R8" i="3"/>
  <c r="Q8" i="3"/>
  <c r="P8" i="3"/>
  <c r="O8" i="3"/>
  <c r="O66" i="4"/>
  <c r="A15" i="2"/>
  <c r="A8" i="2"/>
  <c r="S44" i="6"/>
  <c r="R44" i="6"/>
  <c r="Q44" i="6"/>
  <c r="P44" i="6"/>
  <c r="O44" i="6"/>
  <c r="AG34" i="7"/>
  <c r="AF34" i="7"/>
  <c r="AE34" i="7"/>
  <c r="AD34" i="7"/>
  <c r="AC34" i="7"/>
  <c r="AG121" i="7"/>
  <c r="AF121" i="7"/>
  <c r="AE121" i="7"/>
  <c r="AD121" i="7"/>
  <c r="AC121" i="7"/>
  <c r="AA2" i="7" a="1"/>
  <c r="AA16" i="7" a="1"/>
  <c r="AA16" i="7" s="1"/>
  <c r="AB16" i="7" a="1"/>
  <c r="AB16" i="7" s="1"/>
  <c r="AB17" i="7" a="1"/>
  <c r="AB17" i="7" s="1"/>
  <c r="AA22" i="7" a="1"/>
  <c r="AB22" i="7" a="1"/>
  <c r="AA81" i="7" a="1"/>
  <c r="AA81" i="7" s="1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B36" i="8"/>
  <c r="C36" i="8"/>
  <c r="D36" i="8"/>
  <c r="E36" i="8"/>
  <c r="F36" i="8"/>
  <c r="F72" i="8" s="1"/>
  <c r="G36" i="8"/>
  <c r="H36" i="8"/>
  <c r="I36" i="8"/>
  <c r="J36" i="8"/>
  <c r="K36" i="8"/>
  <c r="L36" i="8"/>
  <c r="M36" i="8"/>
  <c r="N36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B62" i="8"/>
  <c r="C62" i="8"/>
  <c r="D62" i="8"/>
  <c r="E62" i="8"/>
  <c r="F62" i="8"/>
  <c r="G62" i="8"/>
  <c r="H62" i="8"/>
  <c r="H72" i="8" s="1"/>
  <c r="I62" i="8"/>
  <c r="J62" i="8"/>
  <c r="K62" i="8"/>
  <c r="L62" i="8"/>
  <c r="M62" i="8"/>
  <c r="N62" i="8"/>
  <c r="B72" i="8"/>
  <c r="G72" i="8"/>
  <c r="I72" i="8"/>
  <c r="J72" i="8"/>
  <c r="L72" i="8"/>
  <c r="M72" i="8"/>
  <c r="N72" i="8"/>
  <c r="J73" i="8"/>
  <c r="B78" i="8"/>
  <c r="G78" i="8"/>
  <c r="I78" i="8"/>
  <c r="J78" i="8"/>
  <c r="L78" i="8"/>
  <c r="N78" i="8"/>
  <c r="B79" i="8"/>
  <c r="G79" i="8"/>
  <c r="I79" i="8"/>
  <c r="J79" i="8"/>
  <c r="L79" i="8"/>
  <c r="N79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B95" i="8"/>
  <c r="C95" i="8"/>
  <c r="D95" i="8"/>
  <c r="E95" i="8"/>
  <c r="F95" i="8"/>
  <c r="G95" i="8"/>
  <c r="H95" i="8"/>
  <c r="H99" i="8" s="1"/>
  <c r="I95" i="8"/>
  <c r="J95" i="8"/>
  <c r="K95" i="8"/>
  <c r="L95" i="8"/>
  <c r="M95" i="8"/>
  <c r="N95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B99" i="8"/>
  <c r="C99" i="8"/>
  <c r="D99" i="8"/>
  <c r="E99" i="8"/>
  <c r="F99" i="8"/>
  <c r="G99" i="8"/>
  <c r="I99" i="8"/>
  <c r="J99" i="8"/>
  <c r="K99" i="8"/>
  <c r="L99" i="8"/>
  <c r="M99" i="8"/>
  <c r="N99" i="8"/>
  <c r="A102" i="8"/>
  <c r="K2" i="7"/>
  <c r="K3" i="7"/>
  <c r="K4" i="7"/>
  <c r="K5" i="7"/>
  <c r="K6" i="7"/>
  <c r="K7" i="7"/>
  <c r="K8" i="7"/>
  <c r="K9" i="7"/>
  <c r="K11" i="7"/>
  <c r="C13" i="7"/>
  <c r="AB81" i="7" s="1" a="1"/>
  <c r="AB81" i="7" s="1"/>
  <c r="D13" i="7"/>
  <c r="E13" i="7"/>
  <c r="AB2" i="7" s="1" a="1"/>
  <c r="F13" i="7"/>
  <c r="G13" i="7"/>
  <c r="H13" i="7"/>
  <c r="I13" i="7"/>
  <c r="J13" i="7"/>
  <c r="K13" i="7"/>
  <c r="AB95" i="7" s="1" a="1"/>
  <c r="AB95" i="7" s="1"/>
  <c r="O14" i="7"/>
  <c r="K15" i="7"/>
  <c r="K16" i="7"/>
  <c r="T16" i="7" a="1"/>
  <c r="T16" i="7" s="1"/>
  <c r="K17" i="7"/>
  <c r="T17" i="7" a="1"/>
  <c r="T17" i="7" s="1"/>
  <c r="W17" i="7" a="1"/>
  <c r="W17" i="7" s="1"/>
  <c r="Z17" i="7" a="1"/>
  <c r="Z17" i="7" s="1"/>
  <c r="K18" i="7"/>
  <c r="O18" i="7"/>
  <c r="K19" i="7"/>
  <c r="K20" i="7"/>
  <c r="K21" i="7"/>
  <c r="K22" i="7"/>
  <c r="T22" i="7" a="1"/>
  <c r="U22" i="7" a="1"/>
  <c r="K24" i="7"/>
  <c r="C39" i="7"/>
  <c r="D39" i="7"/>
  <c r="E39" i="7"/>
  <c r="Z2" i="7" s="1" a="1"/>
  <c r="F39" i="7"/>
  <c r="G39" i="7"/>
  <c r="H39" i="7"/>
  <c r="I39" i="7"/>
  <c r="J39" i="7"/>
  <c r="Z22" i="7" s="1" a="1"/>
  <c r="K39" i="7"/>
  <c r="Z95" i="7" s="1" a="1"/>
  <c r="Z95" i="7" s="1"/>
  <c r="K41" i="7"/>
  <c r="K42" i="7"/>
  <c r="K43" i="7"/>
  <c r="K44" i="7"/>
  <c r="K45" i="7"/>
  <c r="K46" i="7"/>
  <c r="K47" i="7"/>
  <c r="K48" i="7"/>
  <c r="K50" i="7"/>
  <c r="C52" i="7"/>
  <c r="D52" i="7"/>
  <c r="E52" i="7"/>
  <c r="Y2" i="7" s="1" a="1"/>
  <c r="F52" i="7"/>
  <c r="G52" i="7"/>
  <c r="H52" i="7"/>
  <c r="I52" i="7"/>
  <c r="J52" i="7"/>
  <c r="Y22" i="7" s="1" a="1"/>
  <c r="K54" i="7"/>
  <c r="G55" i="7"/>
  <c r="K55" i="7"/>
  <c r="G56" i="7"/>
  <c r="J56" i="7"/>
  <c r="K56" i="7"/>
  <c r="D57" i="7"/>
  <c r="F57" i="7"/>
  <c r="F65" i="7" s="1"/>
  <c r="G57" i="7"/>
  <c r="J57" i="7"/>
  <c r="K57" i="7"/>
  <c r="G58" i="7"/>
  <c r="J58" i="7"/>
  <c r="K58" i="7"/>
  <c r="G59" i="7"/>
  <c r="J59" i="7"/>
  <c r="K59" i="7"/>
  <c r="G60" i="7"/>
  <c r="J60" i="7"/>
  <c r="K60" i="7"/>
  <c r="G61" i="7"/>
  <c r="K61" i="7"/>
  <c r="K63" i="7"/>
  <c r="C65" i="7"/>
  <c r="D65" i="7"/>
  <c r="E65" i="7"/>
  <c r="X2" i="7" s="1" a="1"/>
  <c r="H65" i="7"/>
  <c r="I65" i="7"/>
  <c r="K67" i="7"/>
  <c r="W95" i="7" s="1" a="1"/>
  <c r="W95" i="7" s="1"/>
  <c r="K68" i="7"/>
  <c r="K69" i="7"/>
  <c r="K70" i="7"/>
  <c r="K71" i="7"/>
  <c r="K72" i="7"/>
  <c r="K73" i="7"/>
  <c r="K74" i="7"/>
  <c r="K76" i="7"/>
  <c r="C78" i="7"/>
  <c r="W16" i="7" s="1" a="1"/>
  <c r="W16" i="7" s="1"/>
  <c r="D78" i="7"/>
  <c r="E78" i="7"/>
  <c r="W2" i="7" s="1" a="1"/>
  <c r="F78" i="7"/>
  <c r="G78" i="7"/>
  <c r="H78" i="7"/>
  <c r="I78" i="7"/>
  <c r="J78" i="7"/>
  <c r="W22" i="7" s="1" a="1"/>
  <c r="K78" i="7"/>
  <c r="K80" i="7"/>
  <c r="K81" i="7"/>
  <c r="W81" i="7" a="1"/>
  <c r="W81" i="7" s="1"/>
  <c r="H82" i="7"/>
  <c r="H91" i="7" s="1"/>
  <c r="K82" i="7"/>
  <c r="K83" i="7"/>
  <c r="K84" i="7"/>
  <c r="K85" i="7"/>
  <c r="K86" i="7"/>
  <c r="K87" i="7"/>
  <c r="K89" i="7"/>
  <c r="K90" i="7"/>
  <c r="C91" i="7"/>
  <c r="D91" i="7"/>
  <c r="E91" i="7"/>
  <c r="V2" i="7" s="1" a="1"/>
  <c r="F91" i="7"/>
  <c r="G91" i="7"/>
  <c r="I91" i="7"/>
  <c r="J91" i="7"/>
  <c r="V22" i="7" s="1" a="1"/>
  <c r="K93" i="7"/>
  <c r="K94" i="7"/>
  <c r="K95" i="7"/>
  <c r="K96" i="7"/>
  <c r="F97" i="7"/>
  <c r="K97" i="7"/>
  <c r="F98" i="7"/>
  <c r="K98" i="7"/>
  <c r="F99" i="7"/>
  <c r="K99" i="7"/>
  <c r="K100" i="7"/>
  <c r="K102" i="7"/>
  <c r="K103" i="7"/>
  <c r="C104" i="7"/>
  <c r="D104" i="7"/>
  <c r="E104" i="7"/>
  <c r="U2" i="7" s="1" a="1"/>
  <c r="G104" i="7"/>
  <c r="H104" i="7"/>
  <c r="I104" i="7"/>
  <c r="J104" i="7"/>
  <c r="F106" i="7"/>
  <c r="K106" i="7"/>
  <c r="F107" i="7"/>
  <c r="K107" i="7"/>
  <c r="K108" i="7"/>
  <c r="F109" i="7"/>
  <c r="K109" i="7"/>
  <c r="E110" i="7"/>
  <c r="F110" i="7"/>
  <c r="H110" i="7"/>
  <c r="K110" i="7"/>
  <c r="E111" i="7"/>
  <c r="F111" i="7"/>
  <c r="K111" i="7"/>
  <c r="F112" i="7"/>
  <c r="K112" i="7"/>
  <c r="K113" i="7"/>
  <c r="K115" i="7"/>
  <c r="K116" i="7"/>
  <c r="C117" i="7"/>
  <c r="T81" i="7" s="1" a="1"/>
  <c r="T81" i="7" s="1"/>
  <c r="D117" i="7"/>
  <c r="E117" i="7"/>
  <c r="F117" i="7"/>
  <c r="G117" i="7"/>
  <c r="H117" i="7"/>
  <c r="I117" i="7"/>
  <c r="J117" i="7"/>
  <c r="K117" i="7"/>
  <c r="K119" i="7"/>
  <c r="K120" i="7"/>
  <c r="F121" i="7"/>
  <c r="K121" i="7"/>
  <c r="F122" i="7"/>
  <c r="K122" i="7"/>
  <c r="F123" i="7"/>
  <c r="K123" i="7"/>
  <c r="F124" i="7"/>
  <c r="K124" i="7"/>
  <c r="F125" i="7"/>
  <c r="K125" i="7"/>
  <c r="K126" i="7"/>
  <c r="K128" i="7"/>
  <c r="K129" i="7"/>
  <c r="C130" i="7"/>
  <c r="D130" i="7"/>
  <c r="E130" i="7"/>
  <c r="S2" i="7" s="1" a="1"/>
  <c r="G130" i="7"/>
  <c r="H130" i="7"/>
  <c r="I130" i="7"/>
  <c r="J130" i="7"/>
  <c r="S22" i="7" s="1" a="1"/>
  <c r="K132" i="7"/>
  <c r="F133" i="7"/>
  <c r="H133" i="7"/>
  <c r="K133" i="7"/>
  <c r="F134" i="7"/>
  <c r="H134" i="7"/>
  <c r="K134" i="7"/>
  <c r="F135" i="7"/>
  <c r="H135" i="7"/>
  <c r="K135" i="7"/>
  <c r="F136" i="7"/>
  <c r="K136" i="7"/>
  <c r="F137" i="7"/>
  <c r="K137" i="7"/>
  <c r="F138" i="7"/>
  <c r="K138" i="7"/>
  <c r="K139" i="7"/>
  <c r="K140" i="7"/>
  <c r="K141" i="7"/>
  <c r="K142" i="7"/>
  <c r="C143" i="7"/>
  <c r="D143" i="7"/>
  <c r="E143" i="7"/>
  <c r="R2" i="7" s="1" a="1"/>
  <c r="F143" i="7"/>
  <c r="G143" i="7"/>
  <c r="H143" i="7"/>
  <c r="I143" i="7"/>
  <c r="J143" i="7"/>
  <c r="R22" i="7" s="1" a="1"/>
  <c r="K143" i="7"/>
  <c r="R17" i="7" s="1" a="1"/>
  <c r="R17" i="7" s="1"/>
  <c r="K145" i="7"/>
  <c r="Q95" i="7" s="1" a="1"/>
  <c r="Q95" i="7" s="1"/>
  <c r="F146" i="7"/>
  <c r="K146" i="7"/>
  <c r="F147" i="7"/>
  <c r="K147" i="7"/>
  <c r="F148" i="7"/>
  <c r="K148" i="7"/>
  <c r="F149" i="7"/>
  <c r="K149" i="7"/>
  <c r="F150" i="7"/>
  <c r="K150" i="7"/>
  <c r="F151" i="7"/>
  <c r="K151" i="7"/>
  <c r="K152" i="7"/>
  <c r="K153" i="7"/>
  <c r="K154" i="7"/>
  <c r="C156" i="7"/>
  <c r="D156" i="7"/>
  <c r="E156" i="7"/>
  <c r="Q2" i="7" s="1" a="1"/>
  <c r="F156" i="7"/>
  <c r="G156" i="7"/>
  <c r="H156" i="7"/>
  <c r="I156" i="7"/>
  <c r="J156" i="7"/>
  <c r="Q22" i="7" s="1" a="1"/>
  <c r="K156" i="7"/>
  <c r="Q17" i="7" s="1" a="1"/>
  <c r="Q17" i="7" s="1"/>
  <c r="K158" i="7"/>
  <c r="F159" i="7"/>
  <c r="K159" i="7"/>
  <c r="F160" i="7"/>
  <c r="K160" i="7"/>
  <c r="F161" i="7"/>
  <c r="K161" i="7"/>
  <c r="F162" i="7"/>
  <c r="K162" i="7"/>
  <c r="F163" i="7"/>
  <c r="K163" i="7"/>
  <c r="F164" i="7"/>
  <c r="K164" i="7"/>
  <c r="K165" i="7"/>
  <c r="K166" i="7"/>
  <c r="K167" i="7"/>
  <c r="C169" i="7"/>
  <c r="D169" i="7"/>
  <c r="E169" i="7"/>
  <c r="P2" i="7" s="1" a="1"/>
  <c r="F169" i="7"/>
  <c r="G169" i="7"/>
  <c r="H169" i="7"/>
  <c r="I169" i="7"/>
  <c r="J169" i="7"/>
  <c r="P22" i="7" s="1" a="1"/>
  <c r="B11" i="6"/>
  <c r="C11" i="6"/>
  <c r="D11" i="6"/>
  <c r="E11" i="6"/>
  <c r="F11" i="6"/>
  <c r="G11" i="6"/>
  <c r="H11" i="6"/>
  <c r="I11" i="6"/>
  <c r="J11" i="6"/>
  <c r="J20" i="6" s="1"/>
  <c r="K11" i="6"/>
  <c r="K16" i="6" s="1"/>
  <c r="L11" i="6"/>
  <c r="M11" i="6"/>
  <c r="N11" i="6"/>
  <c r="N16" i="6" s="1"/>
  <c r="B16" i="6"/>
  <c r="C16" i="6"/>
  <c r="D16" i="6"/>
  <c r="O23" i="6"/>
  <c r="P23" i="6"/>
  <c r="Q23" i="6"/>
  <c r="R23" i="6"/>
  <c r="S23" i="6"/>
  <c r="B27" i="6"/>
  <c r="C27" i="6"/>
  <c r="D27" i="6"/>
  <c r="E27" i="6"/>
  <c r="F27" i="6"/>
  <c r="G27" i="6"/>
  <c r="H27" i="6"/>
  <c r="I27" i="6"/>
  <c r="J27" i="6"/>
  <c r="K27" i="6"/>
  <c r="L27" i="6"/>
  <c r="M27" i="6"/>
  <c r="N27" i="6"/>
  <c r="B28" i="6"/>
  <c r="C28" i="6"/>
  <c r="D28" i="6"/>
  <c r="E28" i="6"/>
  <c r="F28" i="6"/>
  <c r="G28" i="6"/>
  <c r="H28" i="6"/>
  <c r="I28" i="6"/>
  <c r="J28" i="6"/>
  <c r="K28" i="6"/>
  <c r="L28" i="6"/>
  <c r="M28" i="6"/>
  <c r="N28" i="6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B31" i="6"/>
  <c r="B51" i="6" s="1"/>
  <c r="C31" i="6"/>
  <c r="C51" i="6" s="1"/>
  <c r="D31" i="6"/>
  <c r="D51" i="6" s="1"/>
  <c r="E31" i="6"/>
  <c r="E51" i="6" s="1"/>
  <c r="F31" i="6"/>
  <c r="F51" i="6" s="1"/>
  <c r="G31" i="6"/>
  <c r="G51" i="6" s="1"/>
  <c r="H31" i="6"/>
  <c r="H51" i="6" s="1"/>
  <c r="I31" i="6"/>
  <c r="I51" i="6" s="1"/>
  <c r="J31" i="6"/>
  <c r="J51" i="6" s="1"/>
  <c r="K31" i="6"/>
  <c r="K51" i="6" s="1"/>
  <c r="L31" i="6"/>
  <c r="L51" i="6" s="1"/>
  <c r="M31" i="6"/>
  <c r="M51" i="6" s="1"/>
  <c r="N31" i="6"/>
  <c r="N51" i="6" s="1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B33" i="6"/>
  <c r="C33" i="6"/>
  <c r="D33" i="6"/>
  <c r="E33" i="6"/>
  <c r="E34" i="6" s="1"/>
  <c r="F33" i="6"/>
  <c r="G33" i="6"/>
  <c r="H33" i="6"/>
  <c r="I33" i="6"/>
  <c r="J33" i="6"/>
  <c r="K33" i="6"/>
  <c r="L33" i="6"/>
  <c r="M33" i="6"/>
  <c r="N33" i="6"/>
  <c r="B34" i="6"/>
  <c r="C34" i="6"/>
  <c r="D34" i="6"/>
  <c r="F34" i="6"/>
  <c r="G34" i="6"/>
  <c r="H34" i="6"/>
  <c r="J34" i="6"/>
  <c r="K34" i="6"/>
  <c r="L34" i="6"/>
  <c r="M34" i="6"/>
  <c r="N34" i="6"/>
  <c r="B52" i="6"/>
  <c r="C52" i="6"/>
  <c r="D52" i="6"/>
  <c r="E52" i="6"/>
  <c r="F52" i="6"/>
  <c r="G52" i="6"/>
  <c r="H52" i="6"/>
  <c r="J52" i="6"/>
  <c r="L52" i="6"/>
  <c r="N52" i="6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Z13" i="5"/>
  <c r="AM5" i="5" s="1"/>
  <c r="Z14" i="5"/>
  <c r="AM6" i="5" s="1"/>
  <c r="AN6" i="5" s="1"/>
  <c r="AO6" i="5" s="1"/>
  <c r="AP6" i="5" s="1"/>
  <c r="AQ6" i="5" s="1"/>
  <c r="Z15" i="5"/>
  <c r="AM7" i="5" s="1"/>
  <c r="O32" i="5" s="1"/>
  <c r="Z17" i="5"/>
  <c r="AM9" i="5" s="1"/>
  <c r="O45" i="5" s="1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B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B27" i="5"/>
  <c r="B28" i="5"/>
  <c r="B29" i="5" s="1"/>
  <c r="C28" i="5"/>
  <c r="D28" i="5"/>
  <c r="E28" i="5"/>
  <c r="F28" i="5"/>
  <c r="G28" i="5"/>
  <c r="H28" i="5"/>
  <c r="I28" i="5"/>
  <c r="J28" i="5"/>
  <c r="K28" i="5"/>
  <c r="L28" i="5"/>
  <c r="M28" i="5"/>
  <c r="N28" i="5"/>
  <c r="Z35" i="5"/>
  <c r="AA35" i="5"/>
  <c r="AA45" i="5" s="1"/>
  <c r="AB35" i="5"/>
  <c r="AB45" i="5" s="1"/>
  <c r="Q9" i="5" s="1"/>
  <c r="AC35" i="5"/>
  <c r="AC45" i="5" s="1"/>
  <c r="R9" i="5" s="1"/>
  <c r="AD35" i="5"/>
  <c r="AD45" i="5" s="1"/>
  <c r="S9" i="5" s="1"/>
  <c r="Z36" i="5"/>
  <c r="Z46" i="5" s="1"/>
  <c r="O36" i="5" s="1"/>
  <c r="AA36" i="5"/>
  <c r="AA46" i="5" s="1"/>
  <c r="AB36" i="5"/>
  <c r="AB46" i="5" s="1"/>
  <c r="Q36" i="5" s="1"/>
  <c r="AC36" i="5"/>
  <c r="AC46" i="5" s="1"/>
  <c r="R36" i="5" s="1"/>
  <c r="AD36" i="5"/>
  <c r="AD46" i="5" s="1"/>
  <c r="S36" i="5" s="1"/>
  <c r="Z37" i="5"/>
  <c r="AA37" i="5"/>
  <c r="AA47" i="5" s="1"/>
  <c r="AB37" i="5"/>
  <c r="AB47" i="5" s="1"/>
  <c r="Q49" i="5" s="1"/>
  <c r="AC37" i="5"/>
  <c r="AC47" i="5" s="1"/>
  <c r="R49" i="5" s="1"/>
  <c r="AD37" i="5"/>
  <c r="AD47" i="5" s="1"/>
  <c r="S49" i="5" s="1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B41" i="5"/>
  <c r="Z45" i="5"/>
  <c r="O9" i="5" s="1"/>
  <c r="B42" i="5"/>
  <c r="Z47" i="5"/>
  <c r="O49" i="5" s="1"/>
  <c r="B53" i="5"/>
  <c r="C53" i="5"/>
  <c r="B54" i="5" s="1"/>
  <c r="D53" i="5"/>
  <c r="E53" i="5"/>
  <c r="F53" i="5"/>
  <c r="G53" i="5"/>
  <c r="H53" i="5"/>
  <c r="I53" i="5"/>
  <c r="J53" i="5"/>
  <c r="K53" i="5"/>
  <c r="L53" i="5"/>
  <c r="M53" i="5"/>
  <c r="N53" i="5"/>
  <c r="B55" i="5"/>
  <c r="I68" i="5"/>
  <c r="J68" i="5"/>
  <c r="K68" i="5"/>
  <c r="L68" i="5"/>
  <c r="M68" i="5"/>
  <c r="N68" i="5"/>
  <c r="O68" i="5"/>
  <c r="P68" i="5"/>
  <c r="Q68" i="5"/>
  <c r="R68" i="5"/>
  <c r="S68" i="5"/>
  <c r="I70" i="5"/>
  <c r="J70" i="5"/>
  <c r="K70" i="5"/>
  <c r="L70" i="5"/>
  <c r="M70" i="5"/>
  <c r="N70" i="5"/>
  <c r="O70" i="5"/>
  <c r="O60" i="5" s="1"/>
  <c r="P70" i="5"/>
  <c r="Q70" i="5"/>
  <c r="R70" i="5"/>
  <c r="S70" i="5"/>
  <c r="B71" i="5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D15" i="4"/>
  <c r="H15" i="4"/>
  <c r="J15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D22" i="4"/>
  <c r="F22" i="4"/>
  <c r="H22" i="4"/>
  <c r="J22" i="4"/>
  <c r="L22" i="4"/>
  <c r="D23" i="4"/>
  <c r="F23" i="4"/>
  <c r="H23" i="4"/>
  <c r="J23" i="4"/>
  <c r="L23" i="4"/>
  <c r="D24" i="4"/>
  <c r="F24" i="4"/>
  <c r="H24" i="4"/>
  <c r="J24" i="4"/>
  <c r="L24" i="4"/>
  <c r="D25" i="4"/>
  <c r="F25" i="4"/>
  <c r="H25" i="4"/>
  <c r="J25" i="4"/>
  <c r="L25" i="4"/>
  <c r="J28" i="4"/>
  <c r="L28" i="4"/>
  <c r="D30" i="4"/>
  <c r="F30" i="4"/>
  <c r="H30" i="4"/>
  <c r="J30" i="4"/>
  <c r="L30" i="4"/>
  <c r="D32" i="4"/>
  <c r="F32" i="4"/>
  <c r="H32" i="4"/>
  <c r="J32" i="4"/>
  <c r="L32" i="4"/>
  <c r="B34" i="4"/>
  <c r="C34" i="4"/>
  <c r="E34" i="4"/>
  <c r="G34" i="4"/>
  <c r="I34" i="4"/>
  <c r="K34" i="4"/>
  <c r="M34" i="4"/>
  <c r="N34" i="4"/>
  <c r="B35" i="4"/>
  <c r="C35" i="4"/>
  <c r="E35" i="4"/>
  <c r="G35" i="4"/>
  <c r="I35" i="4"/>
  <c r="K35" i="4"/>
  <c r="M35" i="4"/>
  <c r="N35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E52" i="4"/>
  <c r="A7" i="3" s="1" a="1"/>
  <c r="G52" i="4"/>
  <c r="I52" i="4"/>
  <c r="K52" i="4"/>
  <c r="M52" i="4"/>
  <c r="C53" i="4"/>
  <c r="E54" i="4"/>
  <c r="I55" i="4"/>
  <c r="I52" i="6" s="1"/>
  <c r="K55" i="4"/>
  <c r="K52" i="6" s="1"/>
  <c r="M55" i="4"/>
  <c r="M52" i="6" s="1"/>
  <c r="M56" i="4"/>
  <c r="C57" i="4"/>
  <c r="E57" i="4"/>
  <c r="G57" i="4"/>
  <c r="I57" i="4"/>
  <c r="K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I63" i="4"/>
  <c r="K63" i="4"/>
  <c r="M63" i="4"/>
  <c r="G64" i="4"/>
  <c r="I64" i="4"/>
  <c r="B65" i="4"/>
  <c r="C65" i="4"/>
  <c r="D65" i="4"/>
  <c r="E65" i="4"/>
  <c r="F65" i="4"/>
  <c r="G65" i="4"/>
  <c r="H65" i="4"/>
  <c r="I65" i="4"/>
  <c r="J65" i="4"/>
  <c r="K65" i="4"/>
  <c r="L65" i="4"/>
  <c r="M65" i="4"/>
  <c r="N65" i="4"/>
  <c r="P66" i="4"/>
  <c r="Q66" i="4"/>
  <c r="R66" i="4"/>
  <c r="S66" i="4"/>
  <c r="B4" i="3"/>
  <c r="C4" i="3"/>
  <c r="D4" i="3"/>
  <c r="E4" i="3"/>
  <c r="F4" i="3"/>
  <c r="G4" i="3"/>
  <c r="H4" i="3"/>
  <c r="I4" i="3"/>
  <c r="J4" i="3"/>
  <c r="K4" i="3"/>
  <c r="L4" i="3"/>
  <c r="M4" i="3"/>
  <c r="N4" i="3"/>
  <c r="C5" i="3"/>
  <c r="D5" i="3"/>
  <c r="G5" i="3"/>
  <c r="H5" i="3"/>
  <c r="I5" i="3"/>
  <c r="J5" i="3"/>
  <c r="K5" i="3"/>
  <c r="L5" i="3"/>
  <c r="M5" i="3"/>
  <c r="N5" i="3"/>
  <c r="E5" i="3" l="1"/>
  <c r="B6" i="3" s="1" a="1"/>
  <c r="B6" i="3" s="1"/>
  <c r="F5" i="3"/>
  <c r="O7" i="3"/>
  <c r="O52" i="4" s="1"/>
  <c r="F78" i="8"/>
  <c r="F79" i="8" s="1"/>
  <c r="G73" i="8"/>
  <c r="H73" i="8"/>
  <c r="H78" i="8"/>
  <c r="H79" i="8" s="1"/>
  <c r="I73" i="8"/>
  <c r="R95" i="7" a="1"/>
  <c r="R95" i="7" s="1"/>
  <c r="T22" i="7"/>
  <c r="T63" i="7" s="1"/>
  <c r="Q22" i="7"/>
  <c r="P22" i="7"/>
  <c r="U81" i="7" a="1"/>
  <c r="U16" i="7" a="1"/>
  <c r="U16" i="7" s="1"/>
  <c r="T95" i="7" a="1"/>
  <c r="T95" i="7" s="1"/>
  <c r="V81" i="7" a="1"/>
  <c r="V16" i="7" a="1"/>
  <c r="V16" i="7" s="1"/>
  <c r="S81" i="7" a="1"/>
  <c r="S16" i="7" a="1"/>
  <c r="S16" i="7" s="1"/>
  <c r="R81" i="7" a="1"/>
  <c r="R16" i="7" a="1"/>
  <c r="R16" i="7" s="1"/>
  <c r="Q81" i="7" a="1"/>
  <c r="Q16" i="7" a="1"/>
  <c r="Q16" i="7" s="1"/>
  <c r="P81" i="7" a="1"/>
  <c r="P16" i="7" a="1"/>
  <c r="P16" i="7" s="1"/>
  <c r="T2" i="7" a="1"/>
  <c r="G65" i="7"/>
  <c r="R18" i="7"/>
  <c r="K91" i="7"/>
  <c r="V17" i="7" s="1" a="1"/>
  <c r="V17" i="7" s="1"/>
  <c r="V95" i="7" a="1"/>
  <c r="V95" i="7" s="1"/>
  <c r="P95" i="7" a="1"/>
  <c r="P95" i="7" s="1"/>
  <c r="K169" i="7"/>
  <c r="P17" i="7" s="1" a="1"/>
  <c r="P17" i="7" s="1"/>
  <c r="H86" i="6"/>
  <c r="K86" i="6"/>
  <c r="AC33" i="7"/>
  <c r="B17" i="2" s="1"/>
  <c r="J86" i="6"/>
  <c r="I86" i="6"/>
  <c r="B17" i="6"/>
  <c r="B21" i="6"/>
  <c r="B22" i="6"/>
  <c r="B19" i="6"/>
  <c r="B20" i="6"/>
  <c r="B18" i="6"/>
  <c r="C17" i="6"/>
  <c r="C21" i="6"/>
  <c r="C22" i="6"/>
  <c r="C19" i="6"/>
  <c r="C20" i="6"/>
  <c r="C18" i="6"/>
  <c r="D17" i="6"/>
  <c r="D23" i="6" s="1"/>
  <c r="D18" i="6"/>
  <c r="D21" i="6"/>
  <c r="D19" i="6"/>
  <c r="D20" i="6"/>
  <c r="D22" i="6"/>
  <c r="E17" i="6"/>
  <c r="E16" i="6"/>
  <c r="E22" i="6"/>
  <c r="E21" i="6"/>
  <c r="E20" i="6"/>
  <c r="E18" i="6"/>
  <c r="E19" i="6"/>
  <c r="F17" i="6"/>
  <c r="F16" i="6"/>
  <c r="F20" i="6"/>
  <c r="F19" i="6"/>
  <c r="F21" i="6"/>
  <c r="F18" i="6"/>
  <c r="F22" i="6"/>
  <c r="G16" i="6"/>
  <c r="G23" i="6" s="1"/>
  <c r="G21" i="6"/>
  <c r="G18" i="6"/>
  <c r="G19" i="6"/>
  <c r="G22" i="6"/>
  <c r="H16" i="6"/>
  <c r="H23" i="6" s="1"/>
  <c r="H20" i="6"/>
  <c r="H21" i="6"/>
  <c r="H22" i="6"/>
  <c r="I16" i="6"/>
  <c r="I20" i="6"/>
  <c r="I19" i="6"/>
  <c r="I22" i="6"/>
  <c r="L16" i="6"/>
  <c r="L20" i="6"/>
  <c r="M16" i="6"/>
  <c r="M20" i="6"/>
  <c r="N20" i="6"/>
  <c r="G20" i="6"/>
  <c r="G17" i="6"/>
  <c r="H19" i="6"/>
  <c r="H17" i="6"/>
  <c r="H18" i="6"/>
  <c r="I21" i="6"/>
  <c r="I17" i="6"/>
  <c r="I18" i="6"/>
  <c r="J16" i="6"/>
  <c r="J17" i="6"/>
  <c r="J18" i="6"/>
  <c r="J19" i="6"/>
  <c r="K17" i="6"/>
  <c r="K18" i="6"/>
  <c r="K19" i="6"/>
  <c r="K20" i="6"/>
  <c r="L17" i="6"/>
  <c r="L18" i="6"/>
  <c r="L19" i="6"/>
  <c r="M17" i="6"/>
  <c r="M18" i="6"/>
  <c r="M19" i="6"/>
  <c r="N17" i="6"/>
  <c r="N18" i="6"/>
  <c r="N19" i="6"/>
  <c r="B23" i="6"/>
  <c r="B30" i="6"/>
  <c r="B35" i="6" s="1"/>
  <c r="B38" i="6" s="1"/>
  <c r="J21" i="6"/>
  <c r="J22" i="6"/>
  <c r="K21" i="6"/>
  <c r="K22" i="6"/>
  <c r="L21" i="6"/>
  <c r="L22" i="6"/>
  <c r="M21" i="6"/>
  <c r="M22" i="6"/>
  <c r="N21" i="6"/>
  <c r="N22" i="6"/>
  <c r="C30" i="6"/>
  <c r="C35" i="6" s="1"/>
  <c r="C38" i="6" s="1"/>
  <c r="D30" i="6"/>
  <c r="D35" i="6" s="1"/>
  <c r="D38" i="6" s="1"/>
  <c r="E30" i="6"/>
  <c r="E35" i="6" s="1"/>
  <c r="E38" i="6" s="1"/>
  <c r="F30" i="6"/>
  <c r="G30" i="6"/>
  <c r="H30" i="6"/>
  <c r="I30" i="6"/>
  <c r="J30" i="6"/>
  <c r="K30" i="6"/>
  <c r="L30" i="6"/>
  <c r="M30" i="6"/>
  <c r="N30" i="6"/>
  <c r="I34" i="6"/>
  <c r="Q12" i="5"/>
  <c r="Q11" i="5" s="1"/>
  <c r="R12" i="5"/>
  <c r="R11" i="5"/>
  <c r="S12" i="5"/>
  <c r="S11" i="5" s="1"/>
  <c r="O12" i="5"/>
  <c r="O11" i="5" s="1"/>
  <c r="B38" i="4"/>
  <c r="B49" i="4" s="1"/>
  <c r="E38" i="4"/>
  <c r="E49" i="4" s="1"/>
  <c r="G38" i="4"/>
  <c r="G49" i="4" s="1"/>
  <c r="I38" i="4"/>
  <c r="I49" i="4" s="1"/>
  <c r="K38" i="4"/>
  <c r="K49" i="4" s="1"/>
  <c r="M38" i="4"/>
  <c r="M49" i="4" s="1"/>
  <c r="E37" i="4"/>
  <c r="E48" i="4" s="1"/>
  <c r="E61" i="4" s="1"/>
  <c r="G37" i="4"/>
  <c r="G48" i="4" s="1"/>
  <c r="G61" i="4" s="1"/>
  <c r="M37" i="4"/>
  <c r="M48" i="4" s="1"/>
  <c r="M61" i="4" s="1"/>
  <c r="C38" i="4"/>
  <c r="C49" i="4" s="1"/>
  <c r="N38" i="4"/>
  <c r="N49" i="4" s="1"/>
  <c r="B37" i="4"/>
  <c r="B48" i="4" s="1"/>
  <c r="B61" i="4" s="1"/>
  <c r="C37" i="4"/>
  <c r="C48" i="4" s="1"/>
  <c r="C61" i="4" s="1"/>
  <c r="I37" i="4"/>
  <c r="I48" i="4" s="1"/>
  <c r="I61" i="4" s="1"/>
  <c r="K37" i="4"/>
  <c r="K48" i="4" s="1"/>
  <c r="K61" i="4" s="1"/>
  <c r="N37" i="4"/>
  <c r="N48" i="4" s="1"/>
  <c r="N61" i="4" s="1"/>
  <c r="B54" i="6"/>
  <c r="D54" i="6"/>
  <c r="E54" i="6"/>
  <c r="F54" i="6"/>
  <c r="G54" i="6"/>
  <c r="H54" i="6"/>
  <c r="I54" i="6"/>
  <c r="J54" i="6"/>
  <c r="K54" i="6"/>
  <c r="L54" i="6"/>
  <c r="M54" i="6"/>
  <c r="N54" i="6"/>
  <c r="C54" i="6"/>
  <c r="P49" i="5"/>
  <c r="P9" i="5"/>
  <c r="P36" i="5"/>
  <c r="O28" i="4"/>
  <c r="O11" i="4"/>
  <c r="C72" i="8"/>
  <c r="E72" i="8"/>
  <c r="K72" i="8"/>
  <c r="D92" i="8"/>
  <c r="D101" i="8" s="1"/>
  <c r="I92" i="8"/>
  <c r="I101" i="8" s="1"/>
  <c r="M92" i="8"/>
  <c r="M101" i="8" s="1"/>
  <c r="F92" i="8"/>
  <c r="F101" i="8" s="1"/>
  <c r="C92" i="8"/>
  <c r="C101" i="8" s="1"/>
  <c r="K92" i="8"/>
  <c r="K101" i="8" s="1"/>
  <c r="E92" i="8"/>
  <c r="E101" i="8" s="1"/>
  <c r="E102" i="8" s="1"/>
  <c r="E103" i="8" s="1"/>
  <c r="G92" i="8"/>
  <c r="G101" i="8" s="1"/>
  <c r="G102" i="8" s="1"/>
  <c r="G103" i="8" s="1"/>
  <c r="J92" i="8"/>
  <c r="J101" i="8" s="1"/>
  <c r="J102" i="8" s="1"/>
  <c r="J103" i="8" s="1"/>
  <c r="L92" i="8"/>
  <c r="L101" i="8" s="1"/>
  <c r="L102" i="8" s="1"/>
  <c r="L103" i="8" s="1"/>
  <c r="B92" i="8"/>
  <c r="B101" i="8" s="1"/>
  <c r="H92" i="8"/>
  <c r="H101" i="8" s="1"/>
  <c r="N92" i="8"/>
  <c r="N101" i="8" s="1"/>
  <c r="N102" i="8" s="1"/>
  <c r="N103" i="8" s="1"/>
  <c r="N73" i="8"/>
  <c r="M78" i="8"/>
  <c r="M79" i="8" s="1"/>
  <c r="M73" i="8"/>
  <c r="G24" i="3"/>
  <c r="G23" i="3" s="1"/>
  <c r="I24" i="3"/>
  <c r="I23" i="3" s="1"/>
  <c r="J24" i="3"/>
  <c r="J23" i="3" s="1"/>
  <c r="L24" i="3"/>
  <c r="L23" i="3" s="1"/>
  <c r="M24" i="3"/>
  <c r="M23" i="3" s="1"/>
  <c r="F24" i="3"/>
  <c r="F23" i="3" s="1"/>
  <c r="H24" i="3"/>
  <c r="H23" i="3" s="1"/>
  <c r="B24" i="3"/>
  <c r="B23" i="3" s="1"/>
  <c r="AA95" i="7" a="1"/>
  <c r="AA95" i="7" s="1"/>
  <c r="K26" i="7"/>
  <c r="AA17" i="7" s="1" a="1"/>
  <c r="AA17" i="7" s="1"/>
  <c r="K104" i="7"/>
  <c r="F104" i="7"/>
  <c r="K130" i="7"/>
  <c r="F130" i="7"/>
  <c r="K52" i="7"/>
  <c r="K65" i="7"/>
  <c r="J65" i="7"/>
  <c r="X22" i="7" s="1" a="1"/>
  <c r="AA2" i="7"/>
  <c r="AA37" i="7" s="1"/>
  <c r="AA14" i="7"/>
  <c r="AA55" i="7" s="1"/>
  <c r="AB2" i="7"/>
  <c r="AB37" i="7" s="1"/>
  <c r="AB14" i="7"/>
  <c r="AB55" i="7" s="1"/>
  <c r="AA75" i="7"/>
  <c r="AA116" i="7" s="1"/>
  <c r="AA135" i="7" s="1"/>
  <c r="AA77" i="7"/>
  <c r="AA74" i="7"/>
  <c r="AA115" i="7" s="1"/>
  <c r="AA134" i="7" s="1"/>
  <c r="AA73" i="7"/>
  <c r="AA114" i="7" s="1"/>
  <c r="AA133" i="7" s="1"/>
  <c r="AA71" i="7"/>
  <c r="AA112" i="7" s="1"/>
  <c r="AA72" i="7"/>
  <c r="AA113" i="7" s="1"/>
  <c r="AA132" i="7" s="1"/>
  <c r="AA22" i="7"/>
  <c r="AA76" i="7"/>
  <c r="AA117" i="7" s="1"/>
  <c r="AA136" i="7" s="1"/>
  <c r="AB77" i="7"/>
  <c r="AB22" i="7"/>
  <c r="AB74" i="7"/>
  <c r="AB115" i="7" s="1"/>
  <c r="AB134" i="7" s="1"/>
  <c r="AB71" i="7"/>
  <c r="AB112" i="7" s="1"/>
  <c r="AB131" i="7" s="1"/>
  <c r="AB72" i="7"/>
  <c r="AB113" i="7" s="1"/>
  <c r="AB132" i="7" s="1"/>
  <c r="AB73" i="7"/>
  <c r="AB114" i="7" s="1"/>
  <c r="AB133" i="7" s="1"/>
  <c r="AB75" i="7"/>
  <c r="AB116" i="7" s="1"/>
  <c r="AB135" i="7" s="1"/>
  <c r="AB76" i="7"/>
  <c r="AB117" i="7" s="1"/>
  <c r="AB136" i="7" s="1"/>
  <c r="Y81" i="7" a="1"/>
  <c r="Y16" i="7" a="1"/>
  <c r="Y16" i="7" s="1"/>
  <c r="X16" i="7" a="1"/>
  <c r="X16" i="7" s="1"/>
  <c r="X81" i="7" a="1"/>
  <c r="X81" i="7" s="1"/>
  <c r="AA39" i="7"/>
  <c r="AA64" i="7"/>
  <c r="AA60" i="7"/>
  <c r="AA57" i="7"/>
  <c r="AA61" i="7"/>
  <c r="AA38" i="7"/>
  <c r="AA65" i="7"/>
  <c r="AA62" i="7"/>
  <c r="AA47" i="7"/>
  <c r="AA46" i="7"/>
  <c r="AA45" i="7"/>
  <c r="AA44" i="7"/>
  <c r="AA43" i="7"/>
  <c r="AA42" i="7"/>
  <c r="AA41" i="7"/>
  <c r="AA40" i="7"/>
  <c r="AA56" i="7"/>
  <c r="AA48" i="7"/>
  <c r="AB56" i="7"/>
  <c r="AB65" i="7"/>
  <c r="AB62" i="7"/>
  <c r="AB39" i="7"/>
  <c r="AB60" i="7"/>
  <c r="AB57" i="7"/>
  <c r="AB38" i="7"/>
  <c r="AB58" i="7"/>
  <c r="AB47" i="7"/>
  <c r="AB46" i="7"/>
  <c r="AB45" i="7"/>
  <c r="AB44" i="7"/>
  <c r="AB43" i="7"/>
  <c r="AB42" i="7"/>
  <c r="AB41" i="7"/>
  <c r="AB40" i="7"/>
  <c r="AB64" i="7"/>
  <c r="AB61" i="7"/>
  <c r="AB48" i="7"/>
  <c r="D72" i="8"/>
  <c r="N24" i="3"/>
  <c r="N23" i="3" s="1"/>
  <c r="P2" i="7"/>
  <c r="P137" i="7"/>
  <c r="Q14" i="7"/>
  <c r="Q137" i="7"/>
  <c r="Q2" i="7"/>
  <c r="R2" i="7"/>
  <c r="R14" i="7"/>
  <c r="R137" i="7"/>
  <c r="S137" i="7"/>
  <c r="S2" i="7"/>
  <c r="S14" i="7"/>
  <c r="U137" i="7"/>
  <c r="U2" i="7"/>
  <c r="W137" i="7"/>
  <c r="W48" i="7"/>
  <c r="W46" i="7"/>
  <c r="W45" i="7"/>
  <c r="W2" i="7"/>
  <c r="W44" i="7"/>
  <c r="W47" i="7"/>
  <c r="X14" i="7"/>
  <c r="X137" i="7"/>
  <c r="X2" i="7"/>
  <c r="X130" i="7" s="1"/>
  <c r="Y14" i="7"/>
  <c r="Y2" i="7"/>
  <c r="Y137" i="7"/>
  <c r="AA137" i="7"/>
  <c r="AB137" i="7"/>
  <c r="W38" i="7"/>
  <c r="W43" i="7"/>
  <c r="W42" i="7"/>
  <c r="W41" i="7"/>
  <c r="W40" i="7"/>
  <c r="W39" i="7"/>
  <c r="R22" i="7"/>
  <c r="S22" i="7"/>
  <c r="T60" i="7"/>
  <c r="T65" i="7"/>
  <c r="T64" i="7"/>
  <c r="T61" i="7"/>
  <c r="T62" i="7"/>
  <c r="T57" i="7"/>
  <c r="T56" i="7"/>
  <c r="T58" i="7"/>
  <c r="U22" i="7"/>
  <c r="V22" i="7"/>
  <c r="W73" i="7"/>
  <c r="W114" i="7" s="1"/>
  <c r="W133" i="7" s="1"/>
  <c r="W77" i="7"/>
  <c r="W64" i="7"/>
  <c r="W56" i="7"/>
  <c r="W57" i="7"/>
  <c r="W61" i="7"/>
  <c r="W58" i="7"/>
  <c r="W65" i="7"/>
  <c r="W75" i="7"/>
  <c r="W116" i="7" s="1"/>
  <c r="W135" i="7" s="1"/>
  <c r="W62" i="7"/>
  <c r="W22" i="7"/>
  <c r="W63" i="7" s="1"/>
  <c r="W60" i="7"/>
  <c r="W72" i="7"/>
  <c r="W113" i="7" s="1"/>
  <c r="W132" i="7" s="1"/>
  <c r="W71" i="7"/>
  <c r="W112" i="7" s="1"/>
  <c r="W131" i="7" s="1"/>
  <c r="W74" i="7"/>
  <c r="W115" i="7" s="1"/>
  <c r="W134" i="7" s="1"/>
  <c r="W76" i="7"/>
  <c r="W117" i="7" s="1"/>
  <c r="W136" i="7" s="1"/>
  <c r="Y22" i="7"/>
  <c r="Z81" i="7" a="1"/>
  <c r="Z16" i="7" a="1"/>
  <c r="Z16" i="7" s="1"/>
  <c r="Z14" i="7"/>
  <c r="Z137" i="7"/>
  <c r="Z2" i="7"/>
  <c r="Z22" i="7"/>
  <c r="V137" i="7"/>
  <c r="V2" i="7"/>
  <c r="W14" i="7"/>
  <c r="W55" i="7" s="1"/>
  <c r="V14" i="7"/>
  <c r="AN5" i="5"/>
  <c r="AN7" i="5"/>
  <c r="AN9" i="5"/>
  <c r="P24" i="5"/>
  <c r="S24" i="5"/>
  <c r="O24" i="5"/>
  <c r="R24" i="5"/>
  <c r="Q24" i="5"/>
  <c r="S28" i="5"/>
  <c r="S20" i="5" s="1"/>
  <c r="R28" i="5"/>
  <c r="Q28" i="5"/>
  <c r="P28" i="5"/>
  <c r="O28" i="5"/>
  <c r="O20" i="5"/>
  <c r="Q20" i="5"/>
  <c r="R20" i="5"/>
  <c r="Q40" i="5"/>
  <c r="O40" i="5"/>
  <c r="S40" i="5"/>
  <c r="P40" i="5"/>
  <c r="R40" i="5"/>
  <c r="O39" i="5"/>
  <c r="O38" i="5" s="1"/>
  <c r="Q39" i="5"/>
  <c r="Q38" i="5" s="1"/>
  <c r="R39" i="5"/>
  <c r="R38" i="5" s="1"/>
  <c r="S39" i="5"/>
  <c r="S38" i="5" s="1"/>
  <c r="O53" i="5"/>
  <c r="O52" i="5" s="1"/>
  <c r="O51" i="5" s="1"/>
  <c r="Q53" i="5"/>
  <c r="Q52" i="5" s="1"/>
  <c r="Q51" i="5" s="1"/>
  <c r="S53" i="5"/>
  <c r="S52" i="5" s="1"/>
  <c r="S51" i="5" s="1"/>
  <c r="P53" i="5"/>
  <c r="R53" i="5"/>
  <c r="R52" i="5" s="1"/>
  <c r="R51" i="5" s="1"/>
  <c r="D34" i="4"/>
  <c r="D38" i="4" s="1"/>
  <c r="D49" i="4" s="1"/>
  <c r="D35" i="4"/>
  <c r="D37" i="4" s="1"/>
  <c r="D48" i="4" s="1"/>
  <c r="D61" i="4" s="1"/>
  <c r="F34" i="4"/>
  <c r="F38" i="4" s="1"/>
  <c r="F49" i="4" s="1"/>
  <c r="F35" i="4"/>
  <c r="F37" i="4" s="1"/>
  <c r="F48" i="4" s="1"/>
  <c r="F61" i="4" s="1"/>
  <c r="H35" i="4"/>
  <c r="H37" i="4" s="1"/>
  <c r="H48" i="4" s="1"/>
  <c r="H61" i="4" s="1"/>
  <c r="H69" i="4" s="1"/>
  <c r="H34" i="4"/>
  <c r="H38" i="4" s="1"/>
  <c r="H49" i="4" s="1"/>
  <c r="J34" i="4"/>
  <c r="J38" i="4" s="1"/>
  <c r="J49" i="4" s="1"/>
  <c r="J35" i="4"/>
  <c r="J37" i="4" s="1"/>
  <c r="J48" i="4" s="1"/>
  <c r="J61" i="4" s="1"/>
  <c r="J69" i="4" s="1"/>
  <c r="L34" i="4"/>
  <c r="L38" i="4" s="1"/>
  <c r="L49" i="4" s="1"/>
  <c r="L35" i="4"/>
  <c r="L37" i="4" s="1"/>
  <c r="L48" i="4" s="1"/>
  <c r="L61" i="4" s="1"/>
  <c r="L69" i="4" s="1"/>
  <c r="H12" i="3"/>
  <c r="H66" i="4"/>
  <c r="J66" i="4"/>
  <c r="J12" i="3"/>
  <c r="L66" i="4"/>
  <c r="L12" i="3"/>
  <c r="F12" i="3"/>
  <c r="E8" i="3"/>
  <c r="I8" i="3"/>
  <c r="M8" i="3"/>
  <c r="D8" i="3"/>
  <c r="G8" i="3"/>
  <c r="H8" i="3"/>
  <c r="L8" i="3"/>
  <c r="N8" i="3"/>
  <c r="A7" i="3"/>
  <c r="C8" i="3"/>
  <c r="F8" i="3"/>
  <c r="K8" i="3"/>
  <c r="B8" i="3"/>
  <c r="J8" i="3"/>
  <c r="C23" i="6" l="1"/>
  <c r="I23" i="6"/>
  <c r="D102" i="8"/>
  <c r="D103" i="8" s="1"/>
  <c r="C78" i="8"/>
  <c r="C79" i="8" s="1"/>
  <c r="C24" i="3"/>
  <c r="C23" i="3" s="1"/>
  <c r="C73" i="8"/>
  <c r="E78" i="8"/>
  <c r="E79" i="8" s="1"/>
  <c r="E24" i="3"/>
  <c r="E23" i="3" s="1"/>
  <c r="E73" i="8"/>
  <c r="F73" i="8"/>
  <c r="K78" i="8"/>
  <c r="K79" i="8" s="1"/>
  <c r="L73" i="8"/>
  <c r="K24" i="3"/>
  <c r="K23" i="3" s="1"/>
  <c r="K73" i="8"/>
  <c r="U81" i="7"/>
  <c r="U71" i="7"/>
  <c r="U112" i="7" s="1"/>
  <c r="U131" i="7" s="1"/>
  <c r="U73" i="7"/>
  <c r="U114" i="7" s="1"/>
  <c r="U133" i="7" s="1"/>
  <c r="U72" i="7"/>
  <c r="U113" i="7" s="1"/>
  <c r="U74" i="7"/>
  <c r="U115" i="7" s="1"/>
  <c r="U134" i="7" s="1"/>
  <c r="U75" i="7"/>
  <c r="U116" i="7" s="1"/>
  <c r="U135" i="7" s="1"/>
  <c r="U76" i="7"/>
  <c r="U117" i="7" s="1"/>
  <c r="U136" i="7" s="1"/>
  <c r="U77" i="7"/>
  <c r="U63" i="7"/>
  <c r="U44" i="7"/>
  <c r="U46" i="7"/>
  <c r="U48" i="7"/>
  <c r="U45" i="7"/>
  <c r="U43" i="7"/>
  <c r="U42" i="7"/>
  <c r="U41" i="7"/>
  <c r="U40" i="7"/>
  <c r="U39" i="7"/>
  <c r="U38" i="7"/>
  <c r="U57" i="7"/>
  <c r="U64" i="7"/>
  <c r="U61" i="7"/>
  <c r="U60" i="7"/>
  <c r="U56" i="7"/>
  <c r="U65" i="7"/>
  <c r="U62" i="7"/>
  <c r="V81" i="7"/>
  <c r="V74" i="7"/>
  <c r="V115" i="7" s="1"/>
  <c r="V134" i="7" s="1"/>
  <c r="V72" i="7"/>
  <c r="V113" i="7" s="1"/>
  <c r="V132" i="7" s="1"/>
  <c r="V75" i="7"/>
  <c r="V116" i="7" s="1"/>
  <c r="V135" i="7" s="1"/>
  <c r="V77" i="7"/>
  <c r="V73" i="7"/>
  <c r="V114" i="7" s="1"/>
  <c r="V76" i="7"/>
  <c r="V117" i="7" s="1"/>
  <c r="V136" i="7" s="1"/>
  <c r="V71" i="7"/>
  <c r="V112" i="7" s="1"/>
  <c r="V131" i="7" s="1"/>
  <c r="S81" i="7"/>
  <c r="S75" i="7"/>
  <c r="S116" i="7" s="1"/>
  <c r="S135" i="7" s="1"/>
  <c r="S73" i="7"/>
  <c r="S114" i="7" s="1"/>
  <c r="S133" i="7" s="1"/>
  <c r="S77" i="7"/>
  <c r="S72" i="7"/>
  <c r="S113" i="7" s="1"/>
  <c r="S132" i="7" s="1"/>
  <c r="S71" i="7"/>
  <c r="S112" i="7" s="1"/>
  <c r="S131" i="7" s="1"/>
  <c r="S74" i="7"/>
  <c r="S115" i="7" s="1"/>
  <c r="S134" i="7" s="1"/>
  <c r="S76" i="7"/>
  <c r="S117" i="7" s="1"/>
  <c r="S136" i="7" s="1"/>
  <c r="R81" i="7"/>
  <c r="R70" i="7" s="1"/>
  <c r="R74" i="7"/>
  <c r="R115" i="7" s="1"/>
  <c r="R134" i="7" s="1"/>
  <c r="R71" i="7"/>
  <c r="R112" i="7" s="1"/>
  <c r="R73" i="7"/>
  <c r="R114" i="7" s="1"/>
  <c r="R133" i="7" s="1"/>
  <c r="R75" i="7"/>
  <c r="R116" i="7" s="1"/>
  <c r="R135" i="7" s="1"/>
  <c r="R72" i="7"/>
  <c r="R113" i="7" s="1"/>
  <c r="R132" i="7" s="1"/>
  <c r="R76" i="7"/>
  <c r="R117" i="7" s="1"/>
  <c r="R136" i="7" s="1"/>
  <c r="R77" i="7"/>
  <c r="Q81" i="7"/>
  <c r="Q70" i="7" s="1"/>
  <c r="Q71" i="7"/>
  <c r="Q112" i="7" s="1"/>
  <c r="Q73" i="7"/>
  <c r="Q114" i="7" s="1"/>
  <c r="Q133" i="7" s="1"/>
  <c r="Q77" i="7"/>
  <c r="Q72" i="7"/>
  <c r="Q113" i="7" s="1"/>
  <c r="Q132" i="7" s="1"/>
  <c r="Q76" i="7"/>
  <c r="Q117" i="7" s="1"/>
  <c r="Q136" i="7" s="1"/>
  <c r="Q75" i="7"/>
  <c r="Q116" i="7" s="1"/>
  <c r="Q135" i="7" s="1"/>
  <c r="Q74" i="7"/>
  <c r="Q115" i="7" s="1"/>
  <c r="Q134" i="7" s="1"/>
  <c r="P81" i="7"/>
  <c r="P70" i="7" s="1"/>
  <c r="P75" i="7"/>
  <c r="P116" i="7" s="1"/>
  <c r="P135" i="7" s="1"/>
  <c r="P74" i="7"/>
  <c r="P115" i="7" s="1"/>
  <c r="P134" i="7" s="1"/>
  <c r="P73" i="7"/>
  <c r="P114" i="7" s="1"/>
  <c r="P133" i="7" s="1"/>
  <c r="P71" i="7"/>
  <c r="P112" i="7" s="1"/>
  <c r="P131" i="7" s="1"/>
  <c r="P77" i="7"/>
  <c r="P72" i="7"/>
  <c r="P113" i="7" s="1"/>
  <c r="P132" i="7" s="1"/>
  <c r="P76" i="7"/>
  <c r="P117" i="7" s="1"/>
  <c r="P136" i="7" s="1"/>
  <c r="Q55" i="7"/>
  <c r="R63" i="7"/>
  <c r="S63" i="7"/>
  <c r="V63" i="7"/>
  <c r="V55" i="7"/>
  <c r="V38" i="7"/>
  <c r="V46" i="7"/>
  <c r="V39" i="7"/>
  <c r="V40" i="7"/>
  <c r="V41" i="7"/>
  <c r="V42" i="7"/>
  <c r="V43" i="7"/>
  <c r="V44" i="7"/>
  <c r="V45" i="7"/>
  <c r="V62" i="7"/>
  <c r="V57" i="7"/>
  <c r="V64" i="7"/>
  <c r="V61" i="7"/>
  <c r="V60" i="7"/>
  <c r="V65" i="7"/>
  <c r="V56" i="7"/>
  <c r="V48" i="7"/>
  <c r="S39" i="7"/>
  <c r="S62" i="7"/>
  <c r="S55" i="7"/>
  <c r="S61" i="7"/>
  <c r="S65" i="7"/>
  <c r="S60" i="7"/>
  <c r="S56" i="7"/>
  <c r="S64" i="7"/>
  <c r="S38" i="7"/>
  <c r="S43" i="7"/>
  <c r="S42" i="7"/>
  <c r="S41" i="7"/>
  <c r="S57" i="7"/>
  <c r="S44" i="7"/>
  <c r="S48" i="7"/>
  <c r="S46" i="7"/>
  <c r="S45" i="7"/>
  <c r="S40" i="7"/>
  <c r="R44" i="7"/>
  <c r="R61" i="7"/>
  <c r="R43" i="7"/>
  <c r="R42" i="7"/>
  <c r="R41" i="7"/>
  <c r="R62" i="7"/>
  <c r="R55" i="7"/>
  <c r="R40" i="7"/>
  <c r="R60" i="7"/>
  <c r="R59" i="7"/>
  <c r="R48" i="7"/>
  <c r="R46" i="7"/>
  <c r="R65" i="7"/>
  <c r="R39" i="7"/>
  <c r="R58" i="7"/>
  <c r="R57" i="7"/>
  <c r="R64" i="7"/>
  <c r="R56" i="7"/>
  <c r="R38" i="7"/>
  <c r="Q40" i="7"/>
  <c r="Q44" i="7"/>
  <c r="Q48" i="7"/>
  <c r="Q46" i="7"/>
  <c r="Q47" i="7"/>
  <c r="Q43" i="7"/>
  <c r="Q41" i="7"/>
  <c r="Q56" i="7"/>
  <c r="Q65" i="7"/>
  <c r="Q64" i="7"/>
  <c r="Q61" i="7"/>
  <c r="Q57" i="7"/>
  <c r="Q45" i="7"/>
  <c r="Q60" i="7"/>
  <c r="Q58" i="7"/>
  <c r="Q63" i="7"/>
  <c r="Q42" i="7"/>
  <c r="Q54" i="7"/>
  <c r="Q62" i="7"/>
  <c r="Q38" i="7"/>
  <c r="Q39" i="7"/>
  <c r="P48" i="7"/>
  <c r="P64" i="7"/>
  <c r="P60" i="7"/>
  <c r="P56" i="7"/>
  <c r="P65" i="7"/>
  <c r="P47" i="7"/>
  <c r="P39" i="7"/>
  <c r="P40" i="7"/>
  <c r="P41" i="7"/>
  <c r="P62" i="7"/>
  <c r="P55" i="7"/>
  <c r="P42" i="7"/>
  <c r="P43" i="7"/>
  <c r="P38" i="7"/>
  <c r="P63" i="7"/>
  <c r="P45" i="7"/>
  <c r="P46" i="7"/>
  <c r="P44" i="7"/>
  <c r="P57" i="7"/>
  <c r="P61" i="7"/>
  <c r="P54" i="7"/>
  <c r="T44" i="7"/>
  <c r="T48" i="7"/>
  <c r="U14" i="7"/>
  <c r="U55" i="7" s="1"/>
  <c r="T137" i="7"/>
  <c r="T45" i="7"/>
  <c r="T2" i="7"/>
  <c r="T14" i="7"/>
  <c r="T55" i="7" s="1"/>
  <c r="T46" i="7"/>
  <c r="T43" i="7"/>
  <c r="T42" i="7"/>
  <c r="T41" i="7"/>
  <c r="T40" i="7"/>
  <c r="T39" i="7"/>
  <c r="T38" i="7"/>
  <c r="T73" i="7"/>
  <c r="T114" i="7" s="1"/>
  <c r="T133" i="7" s="1"/>
  <c r="T71" i="7"/>
  <c r="T112" i="7" s="1"/>
  <c r="T74" i="7"/>
  <c r="T115" i="7" s="1"/>
  <c r="T134" i="7" s="1"/>
  <c r="T72" i="7"/>
  <c r="T113" i="7" s="1"/>
  <c r="T132" i="7" s="1"/>
  <c r="T75" i="7"/>
  <c r="T116" i="7" s="1"/>
  <c r="T135" i="7" s="1"/>
  <c r="T76" i="7"/>
  <c r="T117" i="7" s="1"/>
  <c r="T136" i="7" s="1"/>
  <c r="T77" i="7"/>
  <c r="T54" i="7"/>
  <c r="W18" i="7"/>
  <c r="W59" i="7" s="1"/>
  <c r="V58" i="7"/>
  <c r="P18" i="7"/>
  <c r="P59" i="7" s="1"/>
  <c r="Q18" i="7"/>
  <c r="Q59" i="7" s="1"/>
  <c r="P58" i="7"/>
  <c r="F23" i="6"/>
  <c r="J23" i="6"/>
  <c r="K23" i="6"/>
  <c r="L23" i="6"/>
  <c r="E23" i="6"/>
  <c r="F35" i="6"/>
  <c r="G35" i="6"/>
  <c r="G38" i="6" s="1"/>
  <c r="H35" i="6"/>
  <c r="H40" i="6" s="1"/>
  <c r="J35" i="6"/>
  <c r="J38" i="6" s="1"/>
  <c r="K35" i="6"/>
  <c r="L35" i="6"/>
  <c r="N23" i="6"/>
  <c r="M23" i="6"/>
  <c r="L38" i="6"/>
  <c r="M35" i="6"/>
  <c r="N35" i="6"/>
  <c r="I35" i="6"/>
  <c r="J39" i="6"/>
  <c r="J40" i="6"/>
  <c r="K38" i="6"/>
  <c r="K36" i="6"/>
  <c r="B39" i="6"/>
  <c r="B40" i="6"/>
  <c r="C12" i="6"/>
  <c r="C39" i="6"/>
  <c r="C40" i="6"/>
  <c r="C36" i="6"/>
  <c r="D39" i="6"/>
  <c r="D12" i="6"/>
  <c r="D36" i="6"/>
  <c r="D40" i="6"/>
  <c r="E39" i="6"/>
  <c r="E40" i="6"/>
  <c r="E12" i="6"/>
  <c r="E36" i="6"/>
  <c r="F36" i="6"/>
  <c r="F12" i="6"/>
  <c r="F39" i="6"/>
  <c r="G39" i="6"/>
  <c r="G36" i="6"/>
  <c r="G40" i="6"/>
  <c r="G12" i="6"/>
  <c r="H12" i="6"/>
  <c r="H39" i="6"/>
  <c r="K39" i="6"/>
  <c r="K40" i="6"/>
  <c r="K12" i="6"/>
  <c r="L39" i="6"/>
  <c r="L40" i="6"/>
  <c r="L36" i="6"/>
  <c r="L12" i="6"/>
  <c r="M39" i="6"/>
  <c r="M40" i="6"/>
  <c r="M36" i="6"/>
  <c r="P12" i="5"/>
  <c r="P11" i="5" s="1"/>
  <c r="P39" i="5"/>
  <c r="P38" i="5" s="1"/>
  <c r="E12" i="3"/>
  <c r="E69" i="4"/>
  <c r="E71" i="4" s="1"/>
  <c r="E66" i="4"/>
  <c r="G69" i="4"/>
  <c r="G71" i="4" s="1"/>
  <c r="G12" i="3"/>
  <c r="G66" i="4"/>
  <c r="M69" i="4"/>
  <c r="M66" i="4"/>
  <c r="M12" i="3"/>
  <c r="B12" i="3"/>
  <c r="B66" i="4"/>
  <c r="C12" i="3"/>
  <c r="C69" i="4"/>
  <c r="C66" i="4"/>
  <c r="I69" i="4"/>
  <c r="I66" i="4"/>
  <c r="I12" i="3"/>
  <c r="K69" i="4"/>
  <c r="K66" i="4"/>
  <c r="K12" i="3"/>
  <c r="N69" i="4"/>
  <c r="N12" i="3"/>
  <c r="N66" i="4"/>
  <c r="P52" i="5"/>
  <c r="P51" i="5" s="1"/>
  <c r="P20" i="5"/>
  <c r="P23" i="5" s="1"/>
  <c r="P22" i="5" s="1"/>
  <c r="I102" i="8"/>
  <c r="I103" i="8" s="1"/>
  <c r="F102" i="8"/>
  <c r="F103" i="8" s="1"/>
  <c r="K102" i="8"/>
  <c r="K103" i="8" s="1"/>
  <c r="H102" i="8"/>
  <c r="H103" i="8" s="1"/>
  <c r="M102" i="8"/>
  <c r="M103" i="8" s="1"/>
  <c r="C102" i="8"/>
  <c r="C103" i="8" s="1"/>
  <c r="AB49" i="7"/>
  <c r="AB18" i="7"/>
  <c r="AB59" i="7" s="1"/>
  <c r="AA58" i="7"/>
  <c r="AA18" i="7"/>
  <c r="AA59" i="7" s="1"/>
  <c r="U17" i="7" a="1"/>
  <c r="U17" i="7" s="1"/>
  <c r="U95" i="7" a="1"/>
  <c r="U95" i="7" s="1"/>
  <c r="S17" i="7" a="1"/>
  <c r="S17" i="7" s="1"/>
  <c r="S95" i="7" a="1"/>
  <c r="S95" i="7" s="1"/>
  <c r="Y17" i="7" a="1"/>
  <c r="Y17" i="7" s="1"/>
  <c r="Y95" i="7" a="1"/>
  <c r="Y95" i="7" s="1"/>
  <c r="X17" i="7" a="1"/>
  <c r="X17" i="7" s="1"/>
  <c r="X95" i="7" a="1"/>
  <c r="X95" i="7" s="1"/>
  <c r="AA49" i="7"/>
  <c r="AB118" i="7"/>
  <c r="Y63" i="7"/>
  <c r="X55" i="7"/>
  <c r="P125" i="7" a="1"/>
  <c r="X71" i="7"/>
  <c r="X112" i="7" s="1"/>
  <c r="X75" i="7"/>
  <c r="X116" i="7" s="1"/>
  <c r="X135" i="7" s="1"/>
  <c r="X74" i="7"/>
  <c r="X115" i="7" s="1"/>
  <c r="X134" i="7" s="1"/>
  <c r="X73" i="7"/>
  <c r="X114" i="7" s="1"/>
  <c r="X133" i="7" s="1"/>
  <c r="X72" i="7"/>
  <c r="X113" i="7" s="1"/>
  <c r="X132" i="7" s="1"/>
  <c r="X65" i="7"/>
  <c r="X62" i="7"/>
  <c r="X56" i="7"/>
  <c r="X57" i="7"/>
  <c r="X64" i="7"/>
  <c r="X61" i="7"/>
  <c r="X22" i="7"/>
  <c r="X76" i="7"/>
  <c r="X117" i="7" s="1"/>
  <c r="X136" i="7" s="1"/>
  <c r="X60" i="7"/>
  <c r="X77" i="7"/>
  <c r="AA118" i="7"/>
  <c r="AA131" i="7"/>
  <c r="AA70" i="7"/>
  <c r="AA63" i="7"/>
  <c r="AA54" i="7"/>
  <c r="AB70" i="7"/>
  <c r="AB63" i="7"/>
  <c r="AB54" i="7"/>
  <c r="Y81" i="7"/>
  <c r="Y70" i="7" s="1"/>
  <c r="Y75" i="7"/>
  <c r="Y116" i="7" s="1"/>
  <c r="Y135" i="7" s="1"/>
  <c r="Y74" i="7"/>
  <c r="Y115" i="7" s="1"/>
  <c r="Y134" i="7" s="1"/>
  <c r="Y76" i="7"/>
  <c r="Y117" i="7" s="1"/>
  <c r="Y136" i="7" s="1"/>
  <c r="Y71" i="7"/>
  <c r="Y112" i="7" s="1"/>
  <c r="Y77" i="7"/>
  <c r="Y73" i="7"/>
  <c r="Y114" i="7" s="1"/>
  <c r="Y133" i="7" s="1"/>
  <c r="Y72" i="7"/>
  <c r="Y113" i="7" s="1"/>
  <c r="Y132" i="7" s="1"/>
  <c r="Y55" i="7"/>
  <c r="Y64" i="7"/>
  <c r="Y60" i="7"/>
  <c r="Y38" i="7"/>
  <c r="Y43" i="7"/>
  <c r="Y57" i="7"/>
  <c r="Y46" i="7"/>
  <c r="Y62" i="7"/>
  <c r="Y65" i="7"/>
  <c r="Y45" i="7"/>
  <c r="Y47" i="7"/>
  <c r="Y44" i="7"/>
  <c r="Y48" i="7"/>
  <c r="Y39" i="7"/>
  <c r="Y61" i="7"/>
  <c r="Y40" i="7"/>
  <c r="Y41" i="7"/>
  <c r="Y56" i="7"/>
  <c r="Y42" i="7"/>
  <c r="X43" i="7"/>
  <c r="X42" i="7"/>
  <c r="X41" i="7"/>
  <c r="X40" i="7"/>
  <c r="X39" i="7"/>
  <c r="X47" i="7"/>
  <c r="X48" i="7"/>
  <c r="X49" i="7" s="1"/>
  <c r="X45" i="7"/>
  <c r="D73" i="8"/>
  <c r="D24" i="3"/>
  <c r="D23" i="3" s="1"/>
  <c r="D78" i="8"/>
  <c r="D79" i="8" s="1"/>
  <c r="P37" i="7"/>
  <c r="P130" i="7"/>
  <c r="Q37" i="7"/>
  <c r="Q130" i="7"/>
  <c r="R130" i="7"/>
  <c r="R37" i="7"/>
  <c r="S37" i="7"/>
  <c r="S130" i="7"/>
  <c r="U37" i="7"/>
  <c r="U130" i="7"/>
  <c r="W130" i="7"/>
  <c r="W138" i="7" s="1"/>
  <c r="W37" i="7"/>
  <c r="W49" i="7" s="1"/>
  <c r="Y37" i="7"/>
  <c r="Y130" i="7"/>
  <c r="AA130" i="7"/>
  <c r="AB130" i="7"/>
  <c r="AB138" i="7" s="1"/>
  <c r="R54" i="7"/>
  <c r="S70" i="7"/>
  <c r="S54" i="7"/>
  <c r="U70" i="7"/>
  <c r="U54" i="7"/>
  <c r="V70" i="7"/>
  <c r="V54" i="7"/>
  <c r="W70" i="7"/>
  <c r="W54" i="7"/>
  <c r="Y54" i="7"/>
  <c r="Z37" i="7"/>
  <c r="Z130" i="7"/>
  <c r="Z54" i="7"/>
  <c r="V37" i="7"/>
  <c r="V130" i="7"/>
  <c r="W118" i="7"/>
  <c r="Z81" i="7"/>
  <c r="Z70" i="7" s="1"/>
  <c r="Z74" i="7"/>
  <c r="Z115" i="7" s="1"/>
  <c r="Z134" i="7" s="1"/>
  <c r="Z72" i="7"/>
  <c r="Z113" i="7" s="1"/>
  <c r="Z132" i="7" s="1"/>
  <c r="Z71" i="7"/>
  <c r="Z112" i="7" s="1"/>
  <c r="Z75" i="7"/>
  <c r="Z116" i="7" s="1"/>
  <c r="Z135" i="7" s="1"/>
  <c r="Z73" i="7"/>
  <c r="Z114" i="7" s="1"/>
  <c r="Z133" i="7" s="1"/>
  <c r="Z76" i="7"/>
  <c r="Z117" i="7" s="1"/>
  <c r="Z136" i="7" s="1"/>
  <c r="Z77" i="7"/>
  <c r="Z65" i="7"/>
  <c r="Z45" i="7"/>
  <c r="Z44" i="7"/>
  <c r="Z48" i="7"/>
  <c r="Z62" i="7"/>
  <c r="Z55" i="7"/>
  <c r="Z39" i="7"/>
  <c r="Z38" i="7"/>
  <c r="Z43" i="7"/>
  <c r="Z56" i="7"/>
  <c r="Z60" i="7"/>
  <c r="Z40" i="7"/>
  <c r="Z57" i="7"/>
  <c r="Z61" i="7"/>
  <c r="Z58" i="7"/>
  <c r="Z42" i="7"/>
  <c r="Z41" i="7"/>
  <c r="Z46" i="7"/>
  <c r="Z63" i="7"/>
  <c r="Z64" i="7"/>
  <c r="Z47" i="7"/>
  <c r="AO5" i="5"/>
  <c r="AO7" i="5"/>
  <c r="O24" i="4"/>
  <c r="O7" i="4"/>
  <c r="O25" i="4"/>
  <c r="O8" i="4"/>
  <c r="AO9" i="5"/>
  <c r="O23" i="5"/>
  <c r="O22" i="5" s="1"/>
  <c r="Q23" i="5"/>
  <c r="Q22" i="5" s="1"/>
  <c r="R23" i="5"/>
  <c r="R22" i="5" s="1"/>
  <c r="S23" i="5"/>
  <c r="S22" i="5" s="1"/>
  <c r="D66" i="4"/>
  <c r="D69" i="4"/>
  <c r="D12" i="3"/>
  <c r="F66" i="4"/>
  <c r="F69" i="4"/>
  <c r="H70" i="4"/>
  <c r="H71" i="4"/>
  <c r="J70" i="4"/>
  <c r="J71" i="4"/>
  <c r="L70" i="4"/>
  <c r="L71" i="4"/>
  <c r="B104" i="8" l="1" a="1"/>
  <c r="B104" i="8" s="1"/>
  <c r="U132" i="7"/>
  <c r="U138" i="7" s="1"/>
  <c r="U139" i="7" s="1"/>
  <c r="U118" i="7"/>
  <c r="V133" i="7"/>
  <c r="V138" i="7" s="1"/>
  <c r="V139" i="7" s="1"/>
  <c r="V118" i="7"/>
  <c r="S118" i="7"/>
  <c r="R131" i="7"/>
  <c r="R138" i="7" s="1"/>
  <c r="E44" i="6" s="1"/>
  <c r="R118" i="7"/>
  <c r="U49" i="7"/>
  <c r="P118" i="7"/>
  <c r="Q131" i="7"/>
  <c r="Q138" i="7" s="1"/>
  <c r="Q118" i="7"/>
  <c r="P49" i="7"/>
  <c r="Q49" i="7"/>
  <c r="R49" i="7"/>
  <c r="S49" i="7"/>
  <c r="V49" i="7"/>
  <c r="T70" i="7"/>
  <c r="T130" i="7"/>
  <c r="T37" i="7"/>
  <c r="T49" i="7" s="1"/>
  <c r="T131" i="7"/>
  <c r="T118" i="7"/>
  <c r="Y49" i="7"/>
  <c r="F38" i="6"/>
  <c r="F40" i="6"/>
  <c r="H38" i="6"/>
  <c r="H36" i="6"/>
  <c r="M38" i="6"/>
  <c r="M12" i="6"/>
  <c r="N38" i="6"/>
  <c r="B46" i="6"/>
  <c r="O35" i="6"/>
  <c r="N40" i="6"/>
  <c r="N39" i="6"/>
  <c r="N36" i="6"/>
  <c r="N12" i="6"/>
  <c r="AB121" i="7"/>
  <c r="AA121" i="7"/>
  <c r="W121" i="7"/>
  <c r="J12" i="6"/>
  <c r="I36" i="6"/>
  <c r="I12" i="6"/>
  <c r="I38" i="6"/>
  <c r="I39" i="6"/>
  <c r="I40" i="6"/>
  <c r="J36" i="6"/>
  <c r="J44" i="6" s="1"/>
  <c r="M70" i="4"/>
  <c r="M71" i="4"/>
  <c r="M72" i="4" s="1"/>
  <c r="I70" i="4"/>
  <c r="I71" i="4"/>
  <c r="K70" i="4"/>
  <c r="K71" i="4"/>
  <c r="N70" i="4"/>
  <c r="N72" i="4"/>
  <c r="B13" i="3"/>
  <c r="E70" i="4"/>
  <c r="C70" i="4"/>
  <c r="C72" i="4"/>
  <c r="AA138" i="7"/>
  <c r="U18" i="7"/>
  <c r="U59" i="7" s="1"/>
  <c r="U58" i="7"/>
  <c r="V18" i="7"/>
  <c r="V59" i="7" s="1"/>
  <c r="S18" i="7"/>
  <c r="S59" i="7" s="1"/>
  <c r="S58" i="7"/>
  <c r="T18" i="7"/>
  <c r="T59" i="7" s="1"/>
  <c r="Z18" i="7"/>
  <c r="Z59" i="7" s="1"/>
  <c r="Y18" i="7"/>
  <c r="Y59" i="7" s="1"/>
  <c r="Y58" i="7"/>
  <c r="X18" i="7"/>
  <c r="X59" i="7" s="1"/>
  <c r="X58" i="7"/>
  <c r="Z126" i="7"/>
  <c r="Y126" i="7"/>
  <c r="X126" i="7"/>
  <c r="W126" i="7"/>
  <c r="V126" i="7"/>
  <c r="U126" i="7"/>
  <c r="T126" i="7"/>
  <c r="S126" i="7"/>
  <c r="R126" i="7"/>
  <c r="Q126" i="7"/>
  <c r="P125" i="7"/>
  <c r="P126" i="7" s="1"/>
  <c r="X131" i="7"/>
  <c r="X138" i="7" s="1"/>
  <c r="X118" i="7"/>
  <c r="X63" i="7"/>
  <c r="X70" i="7"/>
  <c r="X54" i="7"/>
  <c r="Y118" i="7"/>
  <c r="Y131" i="7"/>
  <c r="Y138" i="7" s="1"/>
  <c r="L44" i="6" s="1"/>
  <c r="AB119" i="7"/>
  <c r="AB126" i="7"/>
  <c r="AA126" i="7"/>
  <c r="AA119" i="7"/>
  <c r="AB139" i="7"/>
  <c r="W139" i="7"/>
  <c r="W119" i="7"/>
  <c r="Z131" i="7"/>
  <c r="Z138" i="7" s="1"/>
  <c r="M44" i="6" s="1"/>
  <c r="Z118" i="7"/>
  <c r="Z121" i="7" s="1"/>
  <c r="Z49" i="7"/>
  <c r="S138" i="7"/>
  <c r="F44" i="6" s="1"/>
  <c r="P138" i="7"/>
  <c r="AP5" i="5"/>
  <c r="AP7" i="5"/>
  <c r="AP9" i="5"/>
  <c r="D71" i="4"/>
  <c r="D70" i="4"/>
  <c r="G70" i="4"/>
  <c r="F71" i="4"/>
  <c r="F70" i="4"/>
  <c r="H72" i="4"/>
  <c r="U121" i="7" l="1"/>
  <c r="U119" i="7"/>
  <c r="V119" i="7"/>
  <c r="V121" i="7"/>
  <c r="H44" i="6"/>
  <c r="I44" i="6"/>
  <c r="T119" i="7"/>
  <c r="T121" i="7"/>
  <c r="S121" i="7"/>
  <c r="S119" i="7"/>
  <c r="R121" i="7"/>
  <c r="R119" i="7"/>
  <c r="T138" i="7"/>
  <c r="P121" i="7"/>
  <c r="P119" i="7"/>
  <c r="Q121" i="7"/>
  <c r="Q119" i="7"/>
  <c r="D44" i="6"/>
  <c r="Q139" i="7"/>
  <c r="K44" i="6"/>
  <c r="X139" i="7"/>
  <c r="X121" i="7"/>
  <c r="X119" i="7"/>
  <c r="N44" i="6"/>
  <c r="AA139" i="7"/>
  <c r="Y121" i="7"/>
  <c r="Y119" i="7"/>
  <c r="O36" i="6"/>
  <c r="P35" i="6"/>
  <c r="P36" i="6" s="1"/>
  <c r="P122" i="7"/>
  <c r="I72" i="4"/>
  <c r="J72" i="4"/>
  <c r="K72" i="4"/>
  <c r="L72" i="4"/>
  <c r="C44" i="6"/>
  <c r="Z139" i="7"/>
  <c r="Z119" i="7"/>
  <c r="R139" i="7"/>
  <c r="S139" i="7"/>
  <c r="P139" i="7"/>
  <c r="Y139" i="7"/>
  <c r="AQ5" i="5"/>
  <c r="AQ7" i="5"/>
  <c r="AQ9" i="5"/>
  <c r="E72" i="4"/>
  <c r="D72" i="4"/>
  <c r="G72" i="4"/>
  <c r="F72" i="4"/>
  <c r="T139" i="7" l="1"/>
  <c r="G44" i="6"/>
  <c r="B45" i="6" s="1"/>
  <c r="O34" i="6" l="1"/>
  <c r="O30" i="6"/>
  <c r="AC118" i="7"/>
  <c r="B11" i="2" s="1"/>
  <c r="O31" i="6"/>
  <c r="O51" i="6" s="1"/>
  <c r="O52" i="6" s="1"/>
  <c r="O55" i="4" s="1"/>
  <c r="O11" i="6"/>
  <c r="Q35" i="6" l="1"/>
  <c r="AC138" i="7"/>
  <c r="B14" i="2" s="1"/>
  <c r="P30" i="6"/>
  <c r="P34" i="6"/>
  <c r="P31" i="6"/>
  <c r="P51" i="6" s="1"/>
  <c r="P52" i="6" s="1"/>
  <c r="P55" i="4" s="1"/>
  <c r="P11" i="6"/>
  <c r="AD118" i="7"/>
  <c r="C11" i="2" s="1"/>
  <c r="O4" i="6"/>
  <c r="O8" i="6"/>
  <c r="P45" i="5" s="1"/>
  <c r="O5" i="6"/>
  <c r="O5" i="5" s="1"/>
  <c r="O6" i="6"/>
  <c r="P32" i="5" s="1"/>
  <c r="O9" i="6"/>
  <c r="P60" i="5" s="1"/>
  <c r="O7" i="6"/>
  <c r="O10" i="6"/>
  <c r="O5" i="4" l="1"/>
  <c r="O18" i="5"/>
  <c r="Q36" i="6"/>
  <c r="AD138" i="7" s="1"/>
  <c r="C14" i="2" s="1"/>
  <c r="Q30" i="6"/>
  <c r="Q11" i="6"/>
  <c r="Q34" i="6"/>
  <c r="R35" i="6"/>
  <c r="Q31" i="6"/>
  <c r="Q51" i="6" s="1"/>
  <c r="Q52" i="6" s="1"/>
  <c r="Q55" i="4" s="1"/>
  <c r="AE118" i="7"/>
  <c r="D11" i="2" s="1"/>
  <c r="P4" i="6"/>
  <c r="P7" i="6"/>
  <c r="P10" i="6"/>
  <c r="P5" i="6"/>
  <c r="P5" i="5" s="1"/>
  <c r="P6" i="6"/>
  <c r="Q32" i="5" s="1"/>
  <c r="P9" i="6"/>
  <c r="Q60" i="5" s="1"/>
  <c r="P8" i="6"/>
  <c r="Q45" i="5" s="1"/>
  <c r="P8" i="4"/>
  <c r="P25" i="4"/>
  <c r="O22" i="4"/>
  <c r="P24" i="4"/>
  <c r="P7" i="4"/>
  <c r="P28" i="4"/>
  <c r="P11" i="4"/>
  <c r="AC106" i="7"/>
  <c r="P5" i="4" l="1"/>
  <c r="P22" i="4"/>
  <c r="P18" i="5"/>
  <c r="Q5" i="6"/>
  <c r="Q5" i="5" s="1"/>
  <c r="Q4" i="6"/>
  <c r="Q6" i="6"/>
  <c r="R32" i="5" s="1"/>
  <c r="Q9" i="6"/>
  <c r="R60" i="5" s="1"/>
  <c r="Q10" i="6"/>
  <c r="Q8" i="6"/>
  <c r="R45" i="5" s="1"/>
  <c r="Q7" i="6"/>
  <c r="S35" i="6"/>
  <c r="R34" i="6"/>
  <c r="R36" i="6"/>
  <c r="AE138" i="7" s="1"/>
  <c r="D14" i="2" s="1"/>
  <c r="R11" i="6"/>
  <c r="R31" i="6"/>
  <c r="R51" i="6" s="1"/>
  <c r="R52" i="6" s="1"/>
  <c r="R55" i="4" s="1"/>
  <c r="R30" i="6"/>
  <c r="AF118" i="7"/>
  <c r="E11" i="2" s="1"/>
  <c r="Q24" i="4"/>
  <c r="Q7" i="4"/>
  <c r="Q11" i="4"/>
  <c r="Q28" i="4"/>
  <c r="Q8" i="4"/>
  <c r="Q25" i="4"/>
  <c r="O6" i="4"/>
  <c r="O18" i="4" s="1"/>
  <c r="O23" i="4"/>
  <c r="O34" i="4" s="1"/>
  <c r="AD33" i="7"/>
  <c r="C17" i="2" s="1"/>
  <c r="B4" i="2" l="1"/>
  <c r="B8" i="2"/>
  <c r="AD106" i="7"/>
  <c r="AE33" i="7" s="1"/>
  <c r="D17" i="2" s="1"/>
  <c r="P6" i="4"/>
  <c r="P18" i="4" s="1"/>
  <c r="P23" i="4"/>
  <c r="P34" i="4" s="1"/>
  <c r="Q18" i="5"/>
  <c r="Q22" i="4"/>
  <c r="Q5" i="4"/>
  <c r="O38" i="4"/>
  <c r="O45" i="4"/>
  <c r="O57" i="4"/>
  <c r="O58" i="4" s="1"/>
  <c r="R24" i="4"/>
  <c r="R7" i="4"/>
  <c r="R28" i="4"/>
  <c r="R11" i="4"/>
  <c r="R25" i="4"/>
  <c r="R8" i="4"/>
  <c r="S30" i="6"/>
  <c r="AF138" i="7"/>
  <c r="E14" i="2" s="1"/>
  <c r="S34" i="6"/>
  <c r="S31" i="6"/>
  <c r="S51" i="6" s="1"/>
  <c r="S52" i="6" s="1"/>
  <c r="S55" i="4" s="1"/>
  <c r="S11" i="6"/>
  <c r="AG118" i="7"/>
  <c r="F11" i="2" s="1"/>
  <c r="R7" i="6"/>
  <c r="R5" i="6"/>
  <c r="R5" i="5" s="1"/>
  <c r="R9" i="6"/>
  <c r="S60" i="5" s="1"/>
  <c r="R10" i="6"/>
  <c r="R6" i="6"/>
  <c r="S32" i="5" s="1"/>
  <c r="R4" i="6"/>
  <c r="R8" i="6"/>
  <c r="S45" i="5" s="1"/>
  <c r="S5" i="5" l="1"/>
  <c r="C4" i="2"/>
  <c r="C8" i="2"/>
  <c r="O49" i="4"/>
  <c r="O61" i="4" s="1"/>
  <c r="F14" i="2"/>
  <c r="Q6" i="4"/>
  <c r="Q18" i="4" s="1"/>
  <c r="Q23" i="4"/>
  <c r="Q34" i="4" s="1"/>
  <c r="P57" i="4"/>
  <c r="P38" i="4"/>
  <c r="P45" i="4"/>
  <c r="S5" i="6"/>
  <c r="S9" i="6"/>
  <c r="S10" i="6"/>
  <c r="S7" i="6"/>
  <c r="S6" i="6"/>
  <c r="S8" i="6"/>
  <c r="S4" i="6"/>
  <c r="R22" i="4"/>
  <c r="R18" i="5"/>
  <c r="R5" i="4"/>
  <c r="S28" i="4"/>
  <c r="S11" i="4"/>
  <c r="S24" i="4"/>
  <c r="S7" i="4"/>
  <c r="S8" i="4"/>
  <c r="S25" i="4"/>
  <c r="AE106" i="7"/>
  <c r="D8" i="2" l="1"/>
  <c r="D4" i="2"/>
  <c r="Q57" i="4"/>
  <c r="S22" i="4"/>
  <c r="S5" i="4"/>
  <c r="S18" i="5"/>
  <c r="Q45" i="4"/>
  <c r="Q38" i="4"/>
  <c r="P49" i="4"/>
  <c r="R23" i="4"/>
  <c r="R34" i="4" s="1"/>
  <c r="R6" i="4"/>
  <c r="R18" i="4" s="1"/>
  <c r="O65" i="4"/>
  <c r="AF33" i="7"/>
  <c r="E17" i="2" s="1"/>
  <c r="O71" i="4" l="1"/>
  <c r="O69" i="4"/>
  <c r="B6" i="2" s="1"/>
  <c r="B22" i="2" s="1"/>
  <c r="E4" i="2"/>
  <c r="E8" i="2"/>
  <c r="AF106" i="7"/>
  <c r="AG33" i="7" s="1"/>
  <c r="F17" i="2" s="1"/>
  <c r="S6" i="4"/>
  <c r="S18" i="4" s="1"/>
  <c r="S23" i="4"/>
  <c r="S34" i="4" s="1"/>
  <c r="Q49" i="4"/>
  <c r="R57" i="4"/>
  <c r="R45" i="4"/>
  <c r="R38" i="4"/>
  <c r="F8" i="2" l="1"/>
  <c r="F4" i="2"/>
  <c r="R49" i="4"/>
  <c r="S45" i="4"/>
  <c r="S38" i="4"/>
  <c r="S57" i="4"/>
  <c r="O72" i="4"/>
  <c r="O74" i="8"/>
  <c r="O72" i="8" s="1"/>
  <c r="O70" i="4"/>
  <c r="AG106" i="7"/>
  <c r="S49" i="4" l="1"/>
  <c r="O73" i="8"/>
  <c r="O15" i="3"/>
  <c r="O4" i="3" s="1"/>
  <c r="O24" i="3" s="1"/>
  <c r="O23" i="3" s="1"/>
  <c r="O27" i="3" s="1"/>
  <c r="O30" i="3" s="1"/>
  <c r="B20" i="2" s="1"/>
  <c r="E11" i="13" l="1"/>
  <c r="B27" i="2"/>
  <c r="P7" i="3"/>
  <c r="P52" i="4" s="1"/>
  <c r="P58" i="4" s="1"/>
  <c r="P61" i="4" s="1"/>
  <c r="P65" i="4" l="1"/>
  <c r="P71" i="4" l="1"/>
  <c r="P69" i="4"/>
  <c r="C6" i="2" s="1"/>
  <c r="C22" i="2" s="1"/>
  <c r="P74" i="8" l="1"/>
  <c r="P72" i="8" s="1"/>
  <c r="P72" i="4"/>
  <c r="P70" i="4"/>
  <c r="P73" i="8" l="1"/>
  <c r="P15" i="3"/>
  <c r="P4" i="3" s="1"/>
  <c r="P24" i="3" s="1"/>
  <c r="P23" i="3" s="1"/>
  <c r="P27" i="3" s="1"/>
  <c r="P30" i="3" s="1"/>
  <c r="C20" i="2" s="1"/>
  <c r="C27" i="2" s="1"/>
  <c r="Q7" i="3" l="1"/>
  <c r="Q52" i="4" s="1"/>
  <c r="Q58" i="4" s="1"/>
  <c r="Q61" i="4" s="1"/>
  <c r="Q65" i="4" l="1"/>
  <c r="Q69" i="4" l="1"/>
  <c r="D6" i="2" s="1"/>
  <c r="D22" i="2" s="1"/>
  <c r="Q71" i="4"/>
  <c r="Q70" i="4" l="1"/>
  <c r="Q74" i="8"/>
  <c r="Q72" i="8" s="1"/>
  <c r="Q72" i="4"/>
  <c r="Q15" i="3" l="1"/>
  <c r="Q4" i="3" s="1"/>
  <c r="Q24" i="3" s="1"/>
  <c r="Q23" i="3" s="1"/>
  <c r="Q27" i="3" s="1"/>
  <c r="Q30" i="3" s="1"/>
  <c r="D20" i="2" s="1"/>
  <c r="D27" i="2" s="1"/>
  <c r="Q73" i="8"/>
  <c r="R7" i="3" l="1"/>
  <c r="R52" i="4" s="1"/>
  <c r="R58" i="4" s="1"/>
  <c r="R61" i="4" s="1"/>
  <c r="R65" i="4" l="1"/>
  <c r="R69" i="4" l="1"/>
  <c r="E6" i="2" s="1"/>
  <c r="E22" i="2" s="1"/>
  <c r="R71" i="4"/>
  <c r="R70" i="4" l="1"/>
  <c r="R72" i="4"/>
  <c r="R74" i="8"/>
  <c r="R72" i="8" s="1"/>
  <c r="R15" i="3" l="1"/>
  <c r="R4" i="3" s="1"/>
  <c r="R24" i="3" s="1"/>
  <c r="R23" i="3" s="1"/>
  <c r="R27" i="3" s="1"/>
  <c r="R30" i="3" s="1"/>
  <c r="E20" i="2" s="1"/>
  <c r="E27" i="2" s="1"/>
  <c r="R73" i="8"/>
  <c r="S7" i="3" l="1"/>
  <c r="S52" i="4" s="1"/>
  <c r="S58" i="4" s="1"/>
  <c r="S61" i="4" s="1"/>
  <c r="S65" i="4" l="1"/>
  <c r="S71" i="4" l="1"/>
  <c r="S69" i="4"/>
  <c r="F6" i="2" s="1"/>
  <c r="F22" i="2" s="1"/>
  <c r="S72" i="4" l="1"/>
  <c r="S74" i="8"/>
  <c r="S72" i="8" s="1"/>
  <c r="S70" i="4"/>
  <c r="S73" i="8" l="1"/>
  <c r="S15" i="3"/>
  <c r="S4" i="3" s="1"/>
  <c r="S24" i="3" s="1"/>
  <c r="S23" i="3" s="1"/>
  <c r="S27" i="3" s="1"/>
  <c r="S30" i="3" s="1"/>
  <c r="F20" i="2" s="1"/>
  <c r="F28" i="2" s="1"/>
  <c r="F29" i="2" l="1"/>
  <c r="F27" i="2"/>
  <c r="E8" i="13" l="1"/>
  <c r="E10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<sst xmlns="http://schemas.openxmlformats.org/spreadsheetml/2006/main" count="1083" uniqueCount="307">
  <si>
    <t>Equity per Share</t>
  </si>
  <si>
    <t>Shares</t>
  </si>
  <si>
    <t>Equity Value</t>
  </si>
  <si>
    <t>Cash and Cash Equivalents</t>
  </si>
  <si>
    <t>Perpetuity PV</t>
  </si>
  <si>
    <t>Perpetuity</t>
  </si>
  <si>
    <t>Free Cash PV</t>
  </si>
  <si>
    <t>Tax Rate</t>
  </si>
  <si>
    <t>Free Cash</t>
  </si>
  <si>
    <t>Cost of Equity</t>
  </si>
  <si>
    <t>% of PPE</t>
  </si>
  <si>
    <t>Depreciation</t>
  </si>
  <si>
    <t>R$/ha</t>
  </si>
  <si>
    <t>% of revenue Ex.</t>
  </si>
  <si>
    <t>Net Income</t>
  </si>
  <si>
    <t>Leveraged Beta</t>
  </si>
  <si>
    <t>New Debt</t>
  </si>
  <si>
    <t>Average tax rate</t>
  </si>
  <si>
    <t>▲%</t>
  </si>
  <si>
    <t>Loans and Financing</t>
  </si>
  <si>
    <t>ROU</t>
  </si>
  <si>
    <t>NET INCOME (Ex. Biological Assets)</t>
  </si>
  <si>
    <t>NET INCOME</t>
  </si>
  <si>
    <t>Tax %</t>
  </si>
  <si>
    <t>Taxes</t>
  </si>
  <si>
    <t>Current</t>
  </si>
  <si>
    <t>PROFIT BEFORE TAXES</t>
  </si>
  <si>
    <t>Assumption</t>
  </si>
  <si>
    <t>Others(FX, Monetary, Securities, Other) % of Rev Ex</t>
  </si>
  <si>
    <t>Net Financial Result</t>
  </si>
  <si>
    <t>Other financial revenue (expenses)</t>
  </si>
  <si>
    <t>APV Securities payable</t>
  </si>
  <si>
    <t>APVLiability Lease. (IFRS16)</t>
  </si>
  <si>
    <t>Monetary Variation</t>
  </si>
  <si>
    <t>FX Variation</t>
  </si>
  <si>
    <t>Interest</t>
  </si>
  <si>
    <t>FINANCIAL RESULT</t>
  </si>
  <si>
    <t>EBIT Ex Bio</t>
  </si>
  <si>
    <t>EBIT</t>
  </si>
  <si>
    <t>% of Revenue Ex bio</t>
  </si>
  <si>
    <t>Total SG&amp;A</t>
  </si>
  <si>
    <t>Other Operating Income / (Expenses)</t>
  </si>
  <si>
    <t>Profit Sharing</t>
  </si>
  <si>
    <t>General &amp; Administrative (G&amp;A)</t>
  </si>
  <si>
    <t>Sales Expenses</t>
  </si>
  <si>
    <t>Gross Profit Ex Bio</t>
  </si>
  <si>
    <t>Gross Profit</t>
  </si>
  <si>
    <t>Total COGS</t>
  </si>
  <si>
    <t>COGS Ex. Biological Assets</t>
  </si>
  <si>
    <t>Realized Biological Assets</t>
  </si>
  <si>
    <t>Others</t>
  </si>
  <si>
    <t>Seeds</t>
  </si>
  <si>
    <t>Cattle Heard</t>
  </si>
  <si>
    <t>Sugarcane</t>
  </si>
  <si>
    <t>Corn</t>
  </si>
  <si>
    <t>Soybean</t>
  </si>
  <si>
    <t>Cottonseed</t>
  </si>
  <si>
    <t>Cotton lint</t>
  </si>
  <si>
    <t>COGS</t>
  </si>
  <si>
    <t>Total Revenue</t>
  </si>
  <si>
    <t>Revenue Ex. Biological Assets</t>
  </si>
  <si>
    <t>Biological Assets</t>
  </si>
  <si>
    <t>Hedge Result</t>
  </si>
  <si>
    <t>Cattle Herd</t>
  </si>
  <si>
    <t>REVENUE</t>
  </si>
  <si>
    <t>Median</t>
  </si>
  <si>
    <t>Heads / ha</t>
  </si>
  <si>
    <t>-</t>
  </si>
  <si>
    <t>Margin %</t>
  </si>
  <si>
    <t>Unit Margin (R$ / Head)</t>
  </si>
  <si>
    <t>Unit Cost (R$ / Head)</t>
  </si>
  <si>
    <t>Total Cost (R$ thousand)</t>
  </si>
  <si>
    <t>Unit Price (R$ / Head)</t>
  </si>
  <si>
    <t>Hedge Adj. Net Revenue (R$ thousand)</t>
  </si>
  <si>
    <t>Hedhe Result (R$ thousand)</t>
  </si>
  <si>
    <t>Net Revenue (R$ thousand)</t>
  </si>
  <si>
    <t>Quantity Sold (Heads)</t>
  </si>
  <si>
    <t>Margin Assumption</t>
  </si>
  <si>
    <t>Unit Margin (R$ / Ton)</t>
  </si>
  <si>
    <t>Unit Cost (R$ / Ton)</t>
  </si>
  <si>
    <t>Unit Price (R$ / Ton)</t>
  </si>
  <si>
    <t>Quantity Sold (Ton)</t>
  </si>
  <si>
    <t>Corn Sold</t>
  </si>
  <si>
    <t>Corn  (brl/ton)</t>
  </si>
  <si>
    <t>Soybean (brl/ton)</t>
  </si>
  <si>
    <t>Cotton Lint (brl/ton)</t>
  </si>
  <si>
    <t>corn bu/ton</t>
  </si>
  <si>
    <t>soybean bu/ton</t>
  </si>
  <si>
    <t>lb/ton</t>
  </si>
  <si>
    <t>Corn  (brl/bu)</t>
  </si>
  <si>
    <t>Soybean (brl/bu)</t>
  </si>
  <si>
    <t>Cotton Lint (brl/lb)</t>
  </si>
  <si>
    <t>Soybean Sold</t>
  </si>
  <si>
    <t>Price/Cotton Lint Assumption</t>
  </si>
  <si>
    <t>BRL/USD</t>
  </si>
  <si>
    <t>Cottonseed Price/Cotton Lint Price</t>
  </si>
  <si>
    <t>Corn ($/bu)</t>
  </si>
  <si>
    <t>Cottonseed tons/Cotton lint tons</t>
  </si>
  <si>
    <t>Soybean ($/bu)</t>
  </si>
  <si>
    <t>Cotton Lint ($/lb)</t>
  </si>
  <si>
    <t>2029</t>
  </si>
  <si>
    <t>2028</t>
  </si>
  <si>
    <t>2027</t>
  </si>
  <si>
    <t>2026</t>
  </si>
  <si>
    <t>Futures (05/12/26) (mm/dd/yy)</t>
  </si>
  <si>
    <t>Corn 2nd Crop</t>
  </si>
  <si>
    <t>Cottonseed Sold</t>
  </si>
  <si>
    <t>Corn 1st Crop</t>
  </si>
  <si>
    <t>Soybean (commercial + seed)</t>
  </si>
  <si>
    <t>Cotton Lint 2nd Crop</t>
  </si>
  <si>
    <t>Cotton Lint 1st Crop</t>
  </si>
  <si>
    <t>Other</t>
  </si>
  <si>
    <t>Yield (ton/ha)</t>
  </si>
  <si>
    <t>Cotton Lint Sold</t>
  </si>
  <si>
    <t>2030/31</t>
  </si>
  <si>
    <t>2029/30</t>
  </si>
  <si>
    <t>2028/29</t>
  </si>
  <si>
    <t>2027/28</t>
  </si>
  <si>
    <t>2026/27</t>
  </si>
  <si>
    <t>2025/26</t>
  </si>
  <si>
    <t>2024/25</t>
  </si>
  <si>
    <t>2023/24</t>
  </si>
  <si>
    <t>2022/23</t>
  </si>
  <si>
    <t>2021/22</t>
  </si>
  <si>
    <t>2020/21</t>
  </si>
  <si>
    <t>2019/20</t>
  </si>
  <si>
    <t>2018/19</t>
  </si>
  <si>
    <t>2017/18</t>
  </si>
  <si>
    <t>2016/17</t>
  </si>
  <si>
    <t>2015/16</t>
  </si>
  <si>
    <t>2014/15</t>
  </si>
  <si>
    <t>2013/14</t>
  </si>
  <si>
    <t>Total Area</t>
  </si>
  <si>
    <t>2nd Crop Area</t>
  </si>
  <si>
    <t>SLC LandCo</t>
  </si>
  <si>
    <t>Joint Ventures</t>
  </si>
  <si>
    <t>Leased</t>
  </si>
  <si>
    <t>Owned</t>
  </si>
  <si>
    <t>1st Crop Area</t>
  </si>
  <si>
    <t>Area Mix</t>
  </si>
  <si>
    <t>Total Leased</t>
  </si>
  <si>
    <t>Total %▲</t>
  </si>
  <si>
    <t>% Composition</t>
  </si>
  <si>
    <t>▲</t>
  </si>
  <si>
    <t>Total  Sum</t>
  </si>
  <si>
    <t>Total Others</t>
  </si>
  <si>
    <t>50% of Joint Ventures</t>
  </si>
  <si>
    <t>20% of SLC Land Co</t>
  </si>
  <si>
    <t>Total Owned</t>
  </si>
  <si>
    <t>80% of SLC Land Co</t>
  </si>
  <si>
    <t>Total</t>
  </si>
  <si>
    <t>Cattle</t>
  </si>
  <si>
    <t>Corn 2 Crop</t>
  </si>
  <si>
    <t>Corn 1 Crop</t>
  </si>
  <si>
    <t>Cotton Lint 2 Crop</t>
  </si>
  <si>
    <t>Cotton Lint 1 Crop</t>
  </si>
  <si>
    <t>Planted Area (ha)</t>
  </si>
  <si>
    <t>Bearer Plants</t>
  </si>
  <si>
    <t>Construction in Progress</t>
  </si>
  <si>
    <t>Advances to Suppliers</t>
  </si>
  <si>
    <t>Office Equipment and Installations</t>
  </si>
  <si>
    <t>Furniture and Fixtures</t>
  </si>
  <si>
    <t>Vehicles</t>
  </si>
  <si>
    <t>Agricultural Equipment and Industrial Facilities</t>
  </si>
  <si>
    <t>Buildings and Improvements</t>
  </si>
  <si>
    <t>Soil Improvement and Development</t>
  </si>
  <si>
    <t>Farmland</t>
  </si>
  <si>
    <t>Realized Depreciation</t>
  </si>
  <si>
    <t>x</t>
  </si>
  <si>
    <t>Ending PPE</t>
  </si>
  <si>
    <t xml:space="preserve"> </t>
  </si>
  <si>
    <t xml:space="preserve"> Closing Balance</t>
  </si>
  <si>
    <t xml:space="preserve"> Depreciation </t>
  </si>
  <si>
    <t xml:space="preserve"> Fair Value Realization </t>
  </si>
  <si>
    <t xml:space="preserve"> Reclassifications </t>
  </si>
  <si>
    <t xml:space="preserve"> Transfers </t>
  </si>
  <si>
    <t xml:space="preserve"> Disposals </t>
  </si>
  <si>
    <t xml:space="preserve"> Additions </t>
  </si>
  <si>
    <t xml:space="preserve"> Business Combinations </t>
  </si>
  <si>
    <t xml:space="preserve"> Opening Balance </t>
  </si>
  <si>
    <t xml:space="preserve">Category </t>
  </si>
  <si>
    <t>% of Revenue Ex</t>
  </si>
  <si>
    <t>Working Capital</t>
  </si>
  <si>
    <t>Liabilities</t>
  </si>
  <si>
    <t xml:space="preserve">Advanced of customers </t>
  </si>
  <si>
    <t>Social and Labor Obligations</t>
  </si>
  <si>
    <t>Taxes and Contributions</t>
  </si>
  <si>
    <t>Suppliers</t>
  </si>
  <si>
    <t>Assets</t>
  </si>
  <si>
    <t>Prepaid expenses</t>
  </si>
  <si>
    <t>Other Accounts Receivable</t>
  </si>
  <si>
    <t>Titles to be received</t>
  </si>
  <si>
    <t>Recoverable Taxes</t>
  </si>
  <si>
    <t>Inventory</t>
  </si>
  <si>
    <t>Advance to suppliers</t>
  </si>
  <si>
    <t>Accounts Receivable</t>
  </si>
  <si>
    <t>Check</t>
  </si>
  <si>
    <t>Total Liability</t>
  </si>
  <si>
    <t>Shareholders' Equity</t>
  </si>
  <si>
    <t xml:space="preserve">Non-controlling shareholders </t>
  </si>
  <si>
    <t>Other Comprehensive Results</t>
  </si>
  <si>
    <t>Accumulated profits</t>
  </si>
  <si>
    <t>Profit Reserves</t>
  </si>
  <si>
    <t>(-) Treasury Shares</t>
  </si>
  <si>
    <t>Capital reserves</t>
  </si>
  <si>
    <t>Share capital</t>
  </si>
  <si>
    <t>Non-Current Liabilities</t>
  </si>
  <si>
    <t>Other obligations</t>
  </si>
  <si>
    <t>Leasing  liabilities with third parties</t>
  </si>
  <si>
    <t>Securities Payable</t>
  </si>
  <si>
    <t>Operations with Derivatives</t>
  </si>
  <si>
    <t>Deferred Income Tax and Social Contributions</t>
  </si>
  <si>
    <t>Current Liabilities</t>
  </si>
  <si>
    <t>Other accounts to be paid</t>
  </si>
  <si>
    <t>Leasing to be Paid</t>
  </si>
  <si>
    <t>Dividends to be paid</t>
  </si>
  <si>
    <t>Provisions of Taxes, Environmental and Labor Risks</t>
  </si>
  <si>
    <t>Total Assets</t>
  </si>
  <si>
    <t>Total Fixed Assets</t>
  </si>
  <si>
    <t>Intangible</t>
  </si>
  <si>
    <t>Fixed asset</t>
  </si>
  <si>
    <t>Right of use Assets</t>
  </si>
  <si>
    <t>Investment Property</t>
  </si>
  <si>
    <t>Non-Current Assets</t>
  </si>
  <si>
    <t>Other credits</t>
  </si>
  <si>
    <t>Investments valued at fair value</t>
  </si>
  <si>
    <t xml:space="preserve">Operations with Derivatives </t>
  </si>
  <si>
    <t xml:space="preserve">Deferred Income Tax and social contribution </t>
  </si>
  <si>
    <t>Current Assets</t>
  </si>
  <si>
    <t>Median Ex Outliers</t>
  </si>
  <si>
    <t>Risk Free (US 10y Treasury 2026)</t>
  </si>
  <si>
    <t>EMBI+ Brazil</t>
  </si>
  <si>
    <t>(1-Payout)*Net Income</t>
  </si>
  <si>
    <t>Payout Assumption</t>
  </si>
  <si>
    <t>SLC Agrícola (SLCE3)</t>
  </si>
  <si>
    <t>Tiago Cousseau</t>
  </si>
  <si>
    <t>May 2026</t>
  </si>
  <si>
    <t>Target Price</t>
  </si>
  <si>
    <t>Upside</t>
  </si>
  <si>
    <t>CoE</t>
  </si>
  <si>
    <t>Current Price</t>
  </si>
  <si>
    <t>Methodologies</t>
  </si>
  <si>
    <t>• DCF Valuation</t>
  </si>
  <si>
    <t>• Commodity Price Curve</t>
  </si>
  <si>
    <t>Financial model and valuation for educational purposes</t>
  </si>
  <si>
    <t>• Planted Area Growth</t>
  </si>
  <si>
    <t>Discounted Cash Flow</t>
  </si>
  <si>
    <t>Revenue</t>
  </si>
  <si>
    <t>• Expected Planted Area
• Historical Yield
• Commodities Curve</t>
  </si>
  <si>
    <t>• Historical Geometric Mean % of revenue</t>
  </si>
  <si>
    <t>• Recent Maintenance Capex / ha</t>
  </si>
  <si>
    <t>• Recent Normalized Depreciation</t>
  </si>
  <si>
    <t>Terminal Growth</t>
  </si>
  <si>
    <t>Debt</t>
  </si>
  <si>
    <t>Interest Rate</t>
  </si>
  <si>
    <t>% Rate</t>
  </si>
  <si>
    <t>A</t>
  </si>
  <si>
    <t>F</t>
  </si>
  <si>
    <t>Income Statement</t>
  </si>
  <si>
    <t>Income by Crop</t>
  </si>
  <si>
    <t>Yield</t>
  </si>
  <si>
    <t>Average Yield (Last 3y)</t>
  </si>
  <si>
    <t>Yield Growth Assumption</t>
  </si>
  <si>
    <t>2030</t>
  </si>
  <si>
    <t>Future Contracts Implied Curve</t>
  </si>
  <si>
    <t>Commodities</t>
  </si>
  <si>
    <t>Expected Price</t>
  </si>
  <si>
    <t>Planted Area</t>
  </si>
  <si>
    <t>Expansion Capex t-1 /▲ha t</t>
  </si>
  <si>
    <t>APV lease liability (thud)</t>
  </si>
  <si>
    <t>APV lease liability (thud) / ha</t>
  </si>
  <si>
    <t>APV lease liability (thud) / ha Assumption</t>
  </si>
  <si>
    <t>LinkedIn</t>
  </si>
  <si>
    <t>• Historical Crop Margin
• Recent SG&amp;A % of Revenue
• Last Year Interest Rate
• Historical APV lease liability/ha</t>
  </si>
  <si>
    <t>Maintenance Capex</t>
  </si>
  <si>
    <t>Expansion Capex</t>
  </si>
  <si>
    <t>• Last Year Expansion Capex / Current Planted Area Change</t>
  </si>
  <si>
    <t>• Flat Debt
• Equity Based on Retained Earnings
• Damodaran Unleveraged Beta</t>
  </si>
  <si>
    <t>Discounting</t>
  </si>
  <si>
    <t>Geomean</t>
  </si>
  <si>
    <t>Risk Premium (Damodaran)</t>
  </si>
  <si>
    <t>Debt Weight</t>
  </si>
  <si>
    <t>Equity Weight</t>
  </si>
  <si>
    <t>Farming/Agriculture Damodaran Unleveraged Beta</t>
  </si>
  <si>
    <t>(R$ thud)</t>
  </si>
  <si>
    <t>Coffee</t>
  </si>
  <si>
    <t>Deferred</t>
  </si>
  <si>
    <t>Capex</t>
  </si>
  <si>
    <t>Initial PPE</t>
  </si>
  <si>
    <t>% of initial PPE</t>
  </si>
  <si>
    <t>Capex % of Initial Total PPE</t>
  </si>
  <si>
    <t>Total Ex Farmland &amp; Construction in Progress</t>
  </si>
  <si>
    <t>Dep % of Initial Total PPE + (Total Capex/2)</t>
  </si>
  <si>
    <t>Dep / (Each PPE Item + (Item Capex/2))</t>
  </si>
  <si>
    <t>Maintenance Capex =(x+ItemDep%)*Initial PPE</t>
  </si>
  <si>
    <t>% of Initial PPE</t>
  </si>
  <si>
    <t>Maintenance Capex/ha</t>
  </si>
  <si>
    <t>Related party lease liability</t>
  </si>
  <si>
    <t>Provisions for tax, environment, civil and labor risks</t>
  </si>
  <si>
    <t>Crop Composition</t>
  </si>
  <si>
    <t>Ownership</t>
  </si>
  <si>
    <t>Expansion Capex Assumption</t>
  </si>
  <si>
    <t>(Expansion Capex 2025A /▲ha 2026F)/Total ha 2025A</t>
  </si>
  <si>
    <t>APV Lease Liability Assumption</t>
  </si>
  <si>
    <t>Balance Sheet</t>
  </si>
  <si>
    <t>About the Company</t>
  </si>
  <si>
    <t>• FX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</si>
</sst>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0.00000%"/>
    <numFmt numFmtId="166" formatCode="0.0%"/>
    <numFmt numFmtId="167" formatCode="##,###;\(##,###\)"/>
    <numFmt numFmtId="168" formatCode="_(* #,##0_);_(* \(#,##0\);_(* &quot;-&quot;??_);_(@_)"/>
    <numFmt numFmtId="169" formatCode="0.0000"/>
    <numFmt numFmtId="170" formatCode="0.000"/>
    <numFmt numFmtId="171" formatCode="_-* #,##0.0_-;\-* #,##0.0_-;_-* &quot;-&quot;?_-;_-@_-"/>
    <numFmt numFmtId="172" formatCode="_-* #,##0.0_-;\-* #,##0.0_-;_-* &quot;-&quot;??_-;_-@_-"/>
    <numFmt numFmtId="173" formatCode="0.0"/>
    <numFmt numFmtId="174" formatCode="_(* #,##0.00_);_(* \(#,##0.00\);_(* &quot;-&quot;??_);_(@_)"/>
  </numFmts>
  <fonts count="27" x14ac:knownFonts="1">
    <font>
      <sz val="11"/>
      <color theme="1"/>
      <name val="Aptos Narrow"/>
      <family val="2"/>
      <scheme val="minor"/>
    </font>
    <font>
      <sz val="10"/>
      <name val="Cambria"/>
      <family val="1"/>
    </font>
    <font>
      <i/>
      <sz val="10"/>
      <name val="Cambria"/>
      <family val="1"/>
    </font>
    <font>
      <b/>
      <sz val="10"/>
      <name val="Cambria"/>
      <family val="1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0"/>
      <name val="Cambria"/>
      <family val="1"/>
    </font>
    <font>
      <sz val="10"/>
      <color theme="3" tint="0.249977111117893"/>
      <name val="Cambria"/>
      <family val="1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u/>
      <sz val="11"/>
      <color theme="10"/>
      <name val="Calibri"/>
      <family val="2"/>
    </font>
    <font>
      <b/>
      <sz val="10"/>
      <color theme="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i/>
      <sz val="10"/>
      <color theme="3" tint="0.249977111117893"/>
      <name val="Calibri"/>
      <family val="2"/>
    </font>
    <font>
      <sz val="10"/>
      <color theme="3" tint="0.249977111117893"/>
      <name val="Calibri"/>
      <family val="2"/>
    </font>
    <font>
      <b/>
      <sz val="11"/>
      <color theme="1"/>
      <name val="Calibri"/>
      <family val="2"/>
    </font>
    <font>
      <sz val="11"/>
      <color theme="3" tint="0.249977111117893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i/>
      <sz val="11"/>
      <color theme="3" tint="0.249977111117893"/>
      <name val="Calibri"/>
      <family val="2"/>
    </font>
    <font>
      <b/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</fills>
  <borders count="5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theme="2" tint="-0.249977111117893"/>
      </bottom>
      <diagonal/>
    </border>
    <border>
      <left/>
      <right/>
      <top style="thin">
        <color indexed="64"/>
      </top>
      <bottom style="thin">
        <color theme="2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indexed="64"/>
      </right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indexed="64"/>
      </right>
      <top style="thin">
        <color theme="2" tint="-0.249977111117893"/>
      </top>
      <bottom/>
      <diagonal/>
    </border>
    <border>
      <left style="thin">
        <color indexed="64"/>
      </left>
      <right/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indexed="64"/>
      </right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indexed="64"/>
      </right>
      <top/>
      <bottom style="thin">
        <color theme="2" tint="-0.249977111117893"/>
      </bottom>
      <diagonal/>
    </border>
    <border>
      <left style="thin">
        <color indexed="64"/>
      </left>
      <right/>
      <top/>
      <bottom style="thin">
        <color theme="2" tint="-0.249977111117893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 style="thin">
        <color theme="2" tint="-0.249977111117893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1"/>
      </right>
      <top style="thin">
        <color theme="2" tint="-0.249977111117893"/>
      </top>
      <bottom/>
      <diagonal/>
    </border>
    <border>
      <left/>
      <right style="thin">
        <color theme="1"/>
      </right>
      <top/>
      <bottom style="thin">
        <color theme="2" tint="-0.249977111117893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/>
      <top/>
      <bottom style="double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9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10">
    <xf numFmtId="0" fontId="0" fillId="0" borderId="0" xfId="0"/>
    <xf numFmtId="0" fontId="1" fillId="0" borderId="0" xfId="1"/>
    <xf numFmtId="43" fontId="0" fillId="0" borderId="0" xfId="2" applyFont="1"/>
    <xf numFmtId="164" fontId="0" fillId="0" borderId="0" xfId="2" applyNumberFormat="1" applyFont="1"/>
    <xf numFmtId="1" fontId="1" fillId="0" borderId="0" xfId="1" applyNumberFormat="1"/>
    <xf numFmtId="10" fontId="1" fillId="0" borderId="0" xfId="1" applyNumberFormat="1"/>
    <xf numFmtId="9" fontId="1" fillId="0" borderId="0" xfId="1" applyNumberFormat="1"/>
    <xf numFmtId="9" fontId="2" fillId="0" borderId="0" xfId="1" applyNumberFormat="1" applyFont="1"/>
    <xf numFmtId="0" fontId="2" fillId="0" borderId="0" xfId="1" applyFont="1"/>
    <xf numFmtId="164" fontId="1" fillId="0" borderId="0" xfId="1" applyNumberFormat="1"/>
    <xf numFmtId="164" fontId="1" fillId="0" borderId="0" xfId="2" applyNumberFormat="1" applyFont="1"/>
    <xf numFmtId="0" fontId="3" fillId="0" borderId="0" xfId="1" applyFont="1"/>
    <xf numFmtId="2" fontId="1" fillId="0" borderId="0" xfId="1" applyNumberFormat="1"/>
    <xf numFmtId="10" fontId="0" fillId="0" borderId="0" xfId="4" applyNumberFormat="1" applyFont="1"/>
    <xf numFmtId="164" fontId="0" fillId="0" borderId="0" xfId="2" applyNumberFormat="1" applyFont="1" applyBorder="1"/>
    <xf numFmtId="166" fontId="2" fillId="0" borderId="0" xfId="1" applyNumberFormat="1" applyFont="1"/>
    <xf numFmtId="9" fontId="2" fillId="0" borderId="0" xfId="2" applyNumberFormat="1" applyFont="1" applyBorder="1"/>
    <xf numFmtId="49" fontId="1" fillId="0" borderId="0" xfId="1" applyNumberFormat="1"/>
    <xf numFmtId="9" fontId="2" fillId="0" borderId="0" xfId="4" applyFont="1"/>
    <xf numFmtId="168" fontId="3" fillId="0" borderId="1" xfId="1" applyNumberFormat="1" applyFont="1" applyBorder="1"/>
    <xf numFmtId="0" fontId="1" fillId="0" borderId="2" xfId="1" applyBorder="1"/>
    <xf numFmtId="0" fontId="3" fillId="0" borderId="1" xfId="1" applyFont="1" applyBorder="1"/>
    <xf numFmtId="166" fontId="0" fillId="0" borderId="0" xfId="4" applyNumberFormat="1" applyFont="1"/>
    <xf numFmtId="164" fontId="2" fillId="0" borderId="0" xfId="2" applyNumberFormat="1" applyFont="1"/>
    <xf numFmtId="3" fontId="1" fillId="0" borderId="0" xfId="1" applyNumberFormat="1"/>
    <xf numFmtId="164" fontId="3" fillId="0" borderId="1" xfId="2" applyNumberFormat="1" applyFont="1" applyBorder="1"/>
    <xf numFmtId="166" fontId="1" fillId="0" borderId="0" xfId="1" applyNumberFormat="1"/>
    <xf numFmtId="2" fontId="0" fillId="0" borderId="0" xfId="4" applyNumberFormat="1" applyFont="1"/>
    <xf numFmtId="164" fontId="3" fillId="0" borderId="1" xfId="1" applyNumberFormat="1" applyFont="1" applyBorder="1"/>
    <xf numFmtId="164" fontId="3" fillId="0" borderId="1" xfId="2" applyNumberFormat="1" applyFont="1" applyBorder="1" applyAlignment="1">
      <alignment horizontal="right"/>
    </xf>
    <xf numFmtId="49" fontId="1" fillId="0" borderId="0" xfId="1" applyNumberFormat="1" applyAlignment="1">
      <alignment vertical="center"/>
    </xf>
    <xf numFmtId="164" fontId="0" fillId="0" borderId="0" xfId="2" applyNumberFormat="1" applyFont="1" applyAlignment="1">
      <alignment horizontal="right"/>
    </xf>
    <xf numFmtId="164" fontId="1" fillId="0" borderId="0" xfId="2" applyNumberFormat="1" applyFont="1" applyAlignment="1">
      <alignment horizontal="right"/>
    </xf>
    <xf numFmtId="3" fontId="1" fillId="0" borderId="0" xfId="1" applyNumberFormat="1" applyAlignment="1">
      <alignment horizontal="right"/>
    </xf>
    <xf numFmtId="166" fontId="3" fillId="0" borderId="0" xfId="1" applyNumberFormat="1" applyFont="1"/>
    <xf numFmtId="172" fontId="1" fillId="0" borderId="0" xfId="2" applyNumberFormat="1" applyFont="1"/>
    <xf numFmtId="10" fontId="3" fillId="0" borderId="1" xfId="4" applyNumberFormat="1" applyFont="1" applyBorder="1"/>
    <xf numFmtId="166" fontId="3" fillId="0" borderId="1" xfId="1" applyNumberFormat="1" applyFont="1" applyBorder="1"/>
    <xf numFmtId="0" fontId="3" fillId="0" borderId="0" xfId="1" applyFont="1" applyAlignment="1">
      <alignment vertical="center"/>
    </xf>
    <xf numFmtId="166" fontId="2" fillId="0" borderId="0" xfId="4" applyNumberFormat="1" applyFont="1"/>
    <xf numFmtId="0" fontId="1" fillId="0" borderId="0" xfId="1" applyAlignment="1">
      <alignment vertical="center"/>
    </xf>
    <xf numFmtId="168" fontId="3" fillId="0" borderId="1" xfId="2" applyNumberFormat="1" applyFont="1" applyBorder="1"/>
    <xf numFmtId="10" fontId="2" fillId="0" borderId="0" xfId="2" applyNumberFormat="1" applyFont="1" applyBorder="1"/>
    <xf numFmtId="168" fontId="3" fillId="0" borderId="0" xfId="2" applyNumberFormat="1" applyFont="1" applyBorder="1"/>
    <xf numFmtId="49" fontId="1" fillId="2" borderId="0" xfId="1" applyNumberFormat="1" applyFill="1" applyAlignment="1">
      <alignment vertical="center"/>
    </xf>
    <xf numFmtId="2" fontId="2" fillId="0" borderId="0" xfId="1" applyNumberFormat="1" applyFont="1"/>
    <xf numFmtId="168" fontId="1" fillId="0" borderId="0" xfId="1" applyNumberFormat="1"/>
    <xf numFmtId="0" fontId="10" fillId="0" borderId="0" xfId="0" applyFont="1"/>
    <xf numFmtId="0" fontId="12" fillId="0" borderId="0" xfId="8" applyFont="1" applyBorder="1"/>
    <xf numFmtId="0" fontId="10" fillId="0" borderId="3" xfId="0" applyFont="1" applyBorder="1"/>
    <xf numFmtId="0" fontId="12" fillId="0" borderId="3" xfId="8" applyFont="1" applyBorder="1"/>
    <xf numFmtId="44" fontId="10" fillId="0" borderId="0" xfId="6" applyFont="1" applyBorder="1"/>
    <xf numFmtId="166" fontId="10" fillId="0" borderId="0" xfId="7" applyNumberFormat="1" applyFont="1" applyBorder="1"/>
    <xf numFmtId="166" fontId="10" fillId="0" borderId="0" xfId="0" applyNumberFormat="1" applyFont="1"/>
    <xf numFmtId="0" fontId="13" fillId="3" borderId="13" xfId="1" applyFont="1" applyFill="1" applyBorder="1" applyAlignment="1">
      <alignment horizontal="center" vertical="center"/>
    </xf>
    <xf numFmtId="0" fontId="13" fillId="3" borderId="14" xfId="1" applyFont="1" applyFill="1" applyBorder="1" applyAlignment="1">
      <alignment horizontal="center" vertical="center" wrapText="1"/>
    </xf>
    <xf numFmtId="0" fontId="13" fillId="0" borderId="0" xfId="1" applyFont="1" applyAlignment="1">
      <alignment vertical="center"/>
    </xf>
    <xf numFmtId="0" fontId="14" fillId="0" borderId="0" xfId="1" applyFont="1"/>
    <xf numFmtId="0" fontId="14" fillId="0" borderId="15" xfId="1" applyFont="1" applyBorder="1" applyAlignment="1">
      <alignment horizontal="left" vertical="center"/>
    </xf>
    <xf numFmtId="0" fontId="14" fillId="0" borderId="0" xfId="1" applyFont="1" applyAlignment="1">
      <alignment vertical="center"/>
    </xf>
    <xf numFmtId="49" fontId="14" fillId="0" borderId="0" xfId="1" applyNumberFormat="1" applyFont="1" applyAlignment="1">
      <alignment vertical="center"/>
    </xf>
    <xf numFmtId="49" fontId="14" fillId="0" borderId="4" xfId="1" applyNumberFormat="1" applyFont="1" applyBorder="1" applyAlignment="1">
      <alignment vertical="center"/>
    </xf>
    <xf numFmtId="0" fontId="14" fillId="0" borderId="6" xfId="1" applyFont="1" applyBorder="1" applyAlignment="1">
      <alignment vertical="center"/>
    </xf>
    <xf numFmtId="0" fontId="14" fillId="0" borderId="4" xfId="1" applyFont="1" applyBorder="1" applyAlignment="1">
      <alignment vertical="center" wrapText="1"/>
    </xf>
    <xf numFmtId="0" fontId="15" fillId="0" borderId="0" xfId="1" applyFont="1" applyAlignment="1">
      <alignment vertical="center"/>
    </xf>
    <xf numFmtId="0" fontId="14" fillId="0" borderId="4" xfId="1" applyFont="1" applyBorder="1" applyAlignment="1">
      <alignment vertical="center"/>
    </xf>
    <xf numFmtId="0" fontId="16" fillId="0" borderId="15" xfId="1" applyFont="1" applyBorder="1" applyAlignment="1">
      <alignment vertical="center"/>
    </xf>
    <xf numFmtId="164" fontId="14" fillId="0" borderId="0" xfId="2" applyNumberFormat="1" applyFont="1" applyBorder="1" applyAlignment="1">
      <alignment vertical="center"/>
    </xf>
    <xf numFmtId="164" fontId="14" fillId="0" borderId="4" xfId="2" applyNumberFormat="1" applyFont="1" applyBorder="1" applyAlignment="1">
      <alignment vertical="center"/>
    </xf>
    <xf numFmtId="164" fontId="14" fillId="0" borderId="6" xfId="2" applyNumberFormat="1" applyFont="1" applyBorder="1" applyAlignment="1">
      <alignment vertical="center"/>
    </xf>
    <xf numFmtId="10" fontId="16" fillId="0" borderId="0" xfId="4" applyNumberFormat="1" applyFont="1" applyAlignment="1">
      <alignment vertical="center"/>
    </xf>
    <xf numFmtId="165" fontId="14" fillId="0" borderId="0" xfId="1" applyNumberFormat="1" applyFont="1" applyAlignment="1">
      <alignment vertical="center"/>
    </xf>
    <xf numFmtId="10" fontId="16" fillId="0" borderId="0" xfId="4" applyNumberFormat="1" applyFont="1" applyBorder="1" applyAlignment="1">
      <alignment vertical="center"/>
    </xf>
    <xf numFmtId="10" fontId="16" fillId="0" borderId="4" xfId="4" applyNumberFormat="1" applyFont="1" applyBorder="1" applyAlignment="1">
      <alignment vertical="center"/>
    </xf>
    <xf numFmtId="10" fontId="16" fillId="0" borderId="6" xfId="4" applyNumberFormat="1" applyFont="1" applyBorder="1" applyAlignment="1">
      <alignment vertical="center"/>
    </xf>
    <xf numFmtId="0" fontId="14" fillId="0" borderId="15" xfId="1" applyFont="1" applyBorder="1" applyAlignment="1">
      <alignment vertical="center"/>
    </xf>
    <xf numFmtId="164" fontId="14" fillId="0" borderId="0" xfId="1" applyNumberFormat="1" applyFont="1" applyAlignment="1">
      <alignment vertical="center"/>
    </xf>
    <xf numFmtId="164" fontId="14" fillId="0" borderId="4" xfId="1" applyNumberFormat="1" applyFont="1" applyBorder="1" applyAlignment="1">
      <alignment vertical="center"/>
    </xf>
    <xf numFmtId="164" fontId="14" fillId="0" borderId="6" xfId="1" applyNumberFormat="1" applyFont="1" applyBorder="1" applyAlignment="1">
      <alignment vertical="center"/>
    </xf>
    <xf numFmtId="14" fontId="14" fillId="0" borderId="0" xfId="1" applyNumberFormat="1" applyFont="1" applyAlignment="1">
      <alignment vertical="center"/>
    </xf>
    <xf numFmtId="9" fontId="16" fillId="0" borderId="0" xfId="1" applyNumberFormat="1" applyFont="1" applyAlignment="1">
      <alignment vertical="center"/>
    </xf>
    <xf numFmtId="9" fontId="16" fillId="0" borderId="4" xfId="1" applyNumberFormat="1" applyFont="1" applyBorder="1" applyAlignment="1">
      <alignment vertical="center"/>
    </xf>
    <xf numFmtId="9" fontId="16" fillId="0" borderId="6" xfId="1" applyNumberFormat="1" applyFont="1" applyBorder="1" applyAlignment="1">
      <alignment vertical="center"/>
    </xf>
    <xf numFmtId="43" fontId="14" fillId="0" borderId="6" xfId="1" applyNumberFormat="1" applyFont="1" applyBorder="1" applyAlignment="1">
      <alignment vertical="center"/>
    </xf>
    <xf numFmtId="164" fontId="10" fillId="0" borderId="6" xfId="2" applyNumberFormat="1" applyFont="1" applyBorder="1" applyAlignment="1">
      <alignment vertical="center"/>
    </xf>
    <xf numFmtId="1" fontId="14" fillId="0" borderId="0" xfId="1" applyNumberFormat="1" applyFont="1" applyAlignment="1">
      <alignment vertical="center"/>
    </xf>
    <xf numFmtId="1" fontId="14" fillId="0" borderId="4" xfId="1" applyNumberFormat="1" applyFont="1" applyBorder="1" applyAlignment="1">
      <alignment vertical="center"/>
    </xf>
    <xf numFmtId="1" fontId="14" fillId="0" borderId="6" xfId="1" applyNumberFormat="1" applyFont="1" applyBorder="1" applyAlignment="1">
      <alignment vertical="center"/>
    </xf>
    <xf numFmtId="164" fontId="10" fillId="0" borderId="0" xfId="2" applyNumberFormat="1" applyFont="1" applyBorder="1" applyAlignment="1">
      <alignment vertical="center"/>
    </xf>
    <xf numFmtId="164" fontId="10" fillId="0" borderId="4" xfId="2" applyNumberFormat="1" applyFont="1" applyBorder="1" applyAlignment="1">
      <alignment vertical="center"/>
    </xf>
    <xf numFmtId="0" fontId="18" fillId="0" borderId="15" xfId="1" applyFont="1" applyBorder="1" applyAlignment="1">
      <alignment vertical="center"/>
    </xf>
    <xf numFmtId="10" fontId="18" fillId="0" borderId="0" xfId="1" applyNumberFormat="1" applyFont="1" applyAlignment="1">
      <alignment vertical="center"/>
    </xf>
    <xf numFmtId="0" fontId="18" fillId="0" borderId="0" xfId="1" applyFont="1" applyAlignment="1">
      <alignment vertical="center"/>
    </xf>
    <xf numFmtId="43" fontId="10" fillId="0" borderId="0" xfId="2" applyFont="1" applyBorder="1" applyAlignment="1">
      <alignment vertical="center"/>
    </xf>
    <xf numFmtId="43" fontId="10" fillId="0" borderId="4" xfId="2" applyFont="1" applyBorder="1" applyAlignment="1">
      <alignment vertical="center"/>
    </xf>
    <xf numFmtId="43" fontId="10" fillId="0" borderId="6" xfId="2" applyFont="1" applyBorder="1" applyAlignment="1">
      <alignment vertical="center"/>
    </xf>
    <xf numFmtId="43" fontId="14" fillId="0" borderId="0" xfId="2" applyFont="1" applyBorder="1" applyAlignment="1">
      <alignment vertical="center"/>
    </xf>
    <xf numFmtId="0" fontId="15" fillId="0" borderId="9" xfId="1" applyFont="1" applyBorder="1" applyAlignment="1">
      <alignment vertical="center"/>
    </xf>
    <xf numFmtId="44" fontId="19" fillId="0" borderId="11" xfId="3" applyFont="1" applyBorder="1" applyAlignment="1">
      <alignment vertical="center"/>
    </xf>
    <xf numFmtId="43" fontId="10" fillId="0" borderId="11" xfId="2" applyFont="1" applyBorder="1" applyAlignment="1">
      <alignment vertical="center"/>
    </xf>
    <xf numFmtId="43" fontId="10" fillId="0" borderId="12" xfId="2" applyFont="1" applyBorder="1" applyAlignment="1">
      <alignment vertical="center"/>
    </xf>
    <xf numFmtId="43" fontId="10" fillId="0" borderId="8" xfId="2" applyFont="1" applyBorder="1" applyAlignment="1">
      <alignment vertical="center"/>
    </xf>
    <xf numFmtId="0" fontId="14" fillId="0" borderId="5" xfId="1" applyFont="1" applyBorder="1" applyAlignment="1">
      <alignment vertical="center" wrapText="1"/>
    </xf>
    <xf numFmtId="164" fontId="10" fillId="0" borderId="0" xfId="2" applyNumberFormat="1" applyFont="1"/>
    <xf numFmtId="43" fontId="10" fillId="0" borderId="0" xfId="2" applyFont="1"/>
    <xf numFmtId="0" fontId="14" fillId="0" borderId="0" xfId="1" applyFont="1" applyAlignment="1">
      <alignment wrapText="1"/>
    </xf>
    <xf numFmtId="164" fontId="10" fillId="0" borderId="0" xfId="2" applyNumberFormat="1" applyFont="1" applyBorder="1"/>
    <xf numFmtId="164" fontId="10" fillId="0" borderId="4" xfId="2" applyNumberFormat="1" applyFont="1" applyBorder="1"/>
    <xf numFmtId="10" fontId="20" fillId="0" borderId="0" xfId="4" applyNumberFormat="1" applyFont="1" applyBorder="1"/>
    <xf numFmtId="10" fontId="10" fillId="0" borderId="0" xfId="4" applyNumberFormat="1" applyFont="1" applyBorder="1"/>
    <xf numFmtId="9" fontId="10" fillId="0" borderId="0" xfId="4" applyFont="1" applyBorder="1"/>
    <xf numFmtId="9" fontId="10" fillId="0" borderId="4" xfId="4" applyFont="1" applyBorder="1"/>
    <xf numFmtId="168" fontId="10" fillId="0" borderId="0" xfId="3" applyNumberFormat="1" applyFont="1" applyBorder="1"/>
    <xf numFmtId="168" fontId="19" fillId="0" borderId="0" xfId="3" applyNumberFormat="1" applyFont="1" applyBorder="1"/>
    <xf numFmtId="168" fontId="19" fillId="0" borderId="4" xfId="3" applyNumberFormat="1" applyFont="1" applyBorder="1"/>
    <xf numFmtId="1" fontId="10" fillId="0" borderId="0" xfId="3" applyNumberFormat="1" applyFont="1" applyBorder="1"/>
    <xf numFmtId="1" fontId="10" fillId="0" borderId="4" xfId="3" applyNumberFormat="1" applyFont="1" applyBorder="1"/>
    <xf numFmtId="166" fontId="10" fillId="0" borderId="0" xfId="4" applyNumberFormat="1" applyFont="1" applyBorder="1"/>
    <xf numFmtId="0" fontId="22" fillId="0" borderId="0" xfId="1" applyFont="1"/>
    <xf numFmtId="0" fontId="23" fillId="0" borderId="6" xfId="1" applyFont="1" applyBorder="1"/>
    <xf numFmtId="1" fontId="22" fillId="0" borderId="0" xfId="1" applyNumberFormat="1" applyFont="1" applyAlignment="1">
      <alignment horizontal="center"/>
    </xf>
    <xf numFmtId="1" fontId="22" fillId="0" borderId="4" xfId="1" applyNumberFormat="1" applyFont="1" applyBorder="1" applyAlignment="1">
      <alignment horizontal="center"/>
    </xf>
    <xf numFmtId="0" fontId="22" fillId="0" borderId="6" xfId="1" applyFont="1" applyBorder="1"/>
    <xf numFmtId="1" fontId="22" fillId="0" borderId="0" xfId="1" applyNumberFormat="1" applyFont="1"/>
    <xf numFmtId="0" fontId="22" fillId="0" borderId="4" xfId="1" applyFont="1" applyBorder="1"/>
    <xf numFmtId="168" fontId="22" fillId="0" borderId="0" xfId="3" applyNumberFormat="1" applyFont="1" applyBorder="1"/>
    <xf numFmtId="168" fontId="22" fillId="0" borderId="0" xfId="1" applyNumberFormat="1" applyFont="1"/>
    <xf numFmtId="168" fontId="22" fillId="0" borderId="4" xfId="1" applyNumberFormat="1" applyFont="1" applyBorder="1"/>
    <xf numFmtId="164" fontId="24" fillId="0" borderId="0" xfId="2" applyNumberFormat="1" applyFont="1" applyBorder="1"/>
    <xf numFmtId="164" fontId="24" fillId="0" borderId="4" xfId="2" applyNumberFormat="1" applyFont="1" applyBorder="1"/>
    <xf numFmtId="168" fontId="23" fillId="0" borderId="0" xfId="1" applyNumberFormat="1" applyFont="1"/>
    <xf numFmtId="168" fontId="23" fillId="0" borderId="4" xfId="1" applyNumberFormat="1" applyFont="1" applyBorder="1"/>
    <xf numFmtId="0" fontId="23" fillId="0" borderId="13" xfId="1" applyFont="1" applyBorder="1"/>
    <xf numFmtId="168" fontId="23" fillId="0" borderId="1" xfId="1" applyNumberFormat="1" applyFont="1" applyBorder="1"/>
    <xf numFmtId="168" fontId="23" fillId="0" borderId="14" xfId="1" applyNumberFormat="1" applyFont="1" applyBorder="1"/>
    <xf numFmtId="0" fontId="22" fillId="0" borderId="13" xfId="1" applyFont="1" applyBorder="1"/>
    <xf numFmtId="168" fontId="22" fillId="0" borderId="1" xfId="1" applyNumberFormat="1" applyFont="1" applyBorder="1"/>
    <xf numFmtId="168" fontId="22" fillId="0" borderId="14" xfId="1" applyNumberFormat="1" applyFont="1" applyBorder="1"/>
    <xf numFmtId="167" fontId="23" fillId="0" borderId="1" xfId="1" applyNumberFormat="1" applyFont="1" applyBorder="1"/>
    <xf numFmtId="1" fontId="23" fillId="0" borderId="1" xfId="3" applyNumberFormat="1" applyFont="1" applyBorder="1"/>
    <xf numFmtId="1" fontId="23" fillId="0" borderId="14" xfId="3" applyNumberFormat="1" applyFont="1" applyBorder="1"/>
    <xf numFmtId="167" fontId="22" fillId="0" borderId="0" xfId="1" applyNumberFormat="1" applyFont="1"/>
    <xf numFmtId="167" fontId="22" fillId="0" borderId="1" xfId="1" applyNumberFormat="1" applyFont="1" applyBorder="1"/>
    <xf numFmtId="167" fontId="22" fillId="0" borderId="14" xfId="1" applyNumberFormat="1" applyFont="1" applyBorder="1"/>
    <xf numFmtId="9" fontId="22" fillId="0" borderId="0" xfId="1" applyNumberFormat="1" applyFont="1"/>
    <xf numFmtId="9" fontId="22" fillId="0" borderId="4" xfId="1" applyNumberFormat="1" applyFont="1" applyBorder="1"/>
    <xf numFmtId="9" fontId="22" fillId="0" borderId="6" xfId="1" applyNumberFormat="1" applyFont="1" applyBorder="1"/>
    <xf numFmtId="167" fontId="22" fillId="0" borderId="4" xfId="1" applyNumberFormat="1" applyFont="1" applyBorder="1"/>
    <xf numFmtId="1" fontId="23" fillId="0" borderId="1" xfId="1" applyNumberFormat="1" applyFont="1" applyBorder="1"/>
    <xf numFmtId="1" fontId="23" fillId="0" borderId="14" xfId="1" applyNumberFormat="1" applyFont="1" applyBorder="1"/>
    <xf numFmtId="0" fontId="24" fillId="0" borderId="6" xfId="1" applyFont="1" applyBorder="1"/>
    <xf numFmtId="166" fontId="24" fillId="0" borderId="0" xfId="4" applyNumberFormat="1" applyFont="1" applyBorder="1"/>
    <xf numFmtId="166" fontId="24" fillId="0" borderId="4" xfId="4" applyNumberFormat="1" applyFont="1" applyBorder="1"/>
    <xf numFmtId="10" fontId="22" fillId="0" borderId="6" xfId="4" applyNumberFormat="1" applyFont="1" applyBorder="1"/>
    <xf numFmtId="1" fontId="23" fillId="0" borderId="0" xfId="1" applyNumberFormat="1" applyFont="1"/>
    <xf numFmtId="1" fontId="23" fillId="0" borderId="4" xfId="1" applyNumberFormat="1" applyFont="1" applyBorder="1"/>
    <xf numFmtId="9" fontId="22" fillId="0" borderId="0" xfId="4" applyFont="1" applyBorder="1"/>
    <xf numFmtId="9" fontId="22" fillId="0" borderId="4" xfId="4" applyFont="1" applyBorder="1"/>
    <xf numFmtId="0" fontId="20" fillId="0" borderId="6" xfId="1" applyFont="1" applyBorder="1" applyAlignment="1">
      <alignment vertical="center"/>
    </xf>
    <xf numFmtId="9" fontId="20" fillId="0" borderId="0" xfId="1" applyNumberFormat="1" applyFont="1" applyAlignment="1">
      <alignment vertical="center"/>
    </xf>
    <xf numFmtId="9" fontId="24" fillId="0" borderId="2" xfId="4" applyFont="1" applyBorder="1"/>
    <xf numFmtId="9" fontId="24" fillId="0" borderId="16" xfId="4" applyFont="1" applyBorder="1"/>
    <xf numFmtId="0" fontId="22" fillId="0" borderId="2" xfId="1" applyFont="1" applyBorder="1"/>
    <xf numFmtId="0" fontId="22" fillId="0" borderId="16" xfId="1" applyFont="1" applyBorder="1"/>
    <xf numFmtId="9" fontId="24" fillId="0" borderId="0" xfId="4" applyFont="1" applyBorder="1"/>
    <xf numFmtId="9" fontId="24" fillId="0" borderId="4" xfId="4" applyFont="1" applyBorder="1"/>
    <xf numFmtId="168" fontId="23" fillId="0" borderId="13" xfId="1" applyNumberFormat="1" applyFont="1" applyBorder="1"/>
    <xf numFmtId="0" fontId="22" fillId="0" borderId="8" xfId="1" applyFont="1" applyBorder="1"/>
    <xf numFmtId="1" fontId="22" fillId="0" borderId="3" xfId="1" applyNumberFormat="1" applyFont="1" applyBorder="1"/>
    <xf numFmtId="9" fontId="24" fillId="0" borderId="3" xfId="4" applyFont="1" applyBorder="1"/>
    <xf numFmtId="9" fontId="24" fillId="0" borderId="5" xfId="4" applyFont="1" applyBorder="1"/>
    <xf numFmtId="9" fontId="24" fillId="0" borderId="0" xfId="4" applyFont="1"/>
    <xf numFmtId="10" fontId="22" fillId="0" borderId="0" xfId="1" applyNumberFormat="1" applyFont="1"/>
    <xf numFmtId="0" fontId="23" fillId="0" borderId="0" xfId="1" applyFont="1"/>
    <xf numFmtId="1" fontId="22" fillId="0" borderId="0" xfId="3" applyNumberFormat="1" applyFont="1"/>
    <xf numFmtId="0" fontId="22" fillId="0" borderId="15" xfId="1" applyFont="1" applyBorder="1"/>
    <xf numFmtId="49" fontId="22" fillId="0" borderId="0" xfId="1" applyNumberFormat="1" applyFont="1"/>
    <xf numFmtId="49" fontId="22" fillId="0" borderId="4" xfId="1" applyNumberFormat="1" applyFont="1" applyBorder="1"/>
    <xf numFmtId="9" fontId="24" fillId="0" borderId="0" xfId="2" applyNumberFormat="1" applyFont="1" applyBorder="1"/>
    <xf numFmtId="9" fontId="24" fillId="0" borderId="4" xfId="2" applyNumberFormat="1" applyFont="1" applyBorder="1"/>
    <xf numFmtId="166" fontId="24" fillId="0" borderId="15" xfId="1" applyNumberFormat="1" applyFont="1" applyBorder="1"/>
    <xf numFmtId="166" fontId="24" fillId="0" borderId="0" xfId="1" applyNumberFormat="1" applyFont="1"/>
    <xf numFmtId="166" fontId="24" fillId="0" borderId="4" xfId="1" applyNumberFormat="1" applyFont="1" applyBorder="1"/>
    <xf numFmtId="166" fontId="25" fillId="0" borderId="15" xfId="1" applyNumberFormat="1" applyFont="1" applyBorder="1"/>
    <xf numFmtId="166" fontId="25" fillId="0" borderId="0" xfId="1" applyNumberFormat="1" applyFont="1"/>
    <xf numFmtId="10" fontId="24" fillId="0" borderId="0" xfId="4" applyNumberFormat="1" applyFont="1" applyBorder="1"/>
    <xf numFmtId="10" fontId="24" fillId="0" borderId="4" xfId="4" applyNumberFormat="1" applyFont="1" applyBorder="1"/>
    <xf numFmtId="0" fontId="24" fillId="0" borderId="15" xfId="1" applyFont="1" applyBorder="1"/>
    <xf numFmtId="0" fontId="24" fillId="0" borderId="0" xfId="1" applyFont="1"/>
    <xf numFmtId="43" fontId="22" fillId="0" borderId="4" xfId="1" applyNumberFormat="1" applyFont="1" applyBorder="1"/>
    <xf numFmtId="0" fontId="20" fillId="0" borderId="15" xfId="1" applyFont="1" applyBorder="1"/>
    <xf numFmtId="10" fontId="24" fillId="0" borderId="0" xfId="1" applyNumberFormat="1" applyFont="1"/>
    <xf numFmtId="10" fontId="24" fillId="0" borderId="4" xfId="1" applyNumberFormat="1" applyFont="1" applyBorder="1"/>
    <xf numFmtId="2" fontId="23" fillId="0" borderId="4" xfId="1" applyNumberFormat="1" applyFont="1" applyBorder="1"/>
    <xf numFmtId="2" fontId="22" fillId="0" borderId="0" xfId="1" applyNumberFormat="1" applyFont="1"/>
    <xf numFmtId="2" fontId="22" fillId="0" borderId="4" xfId="1" applyNumberFormat="1" applyFont="1" applyBorder="1"/>
    <xf numFmtId="0" fontId="20" fillId="0" borderId="0" xfId="1" applyFont="1"/>
    <xf numFmtId="0" fontId="22" fillId="0" borderId="3" xfId="1" applyFont="1" applyBorder="1"/>
    <xf numFmtId="0" fontId="22" fillId="0" borderId="5" xfId="1" applyFont="1" applyBorder="1"/>
    <xf numFmtId="9" fontId="10" fillId="0" borderId="0" xfId="4" applyFont="1"/>
    <xf numFmtId="166" fontId="10" fillId="0" borderId="0" xfId="4" applyNumberFormat="1" applyFont="1"/>
    <xf numFmtId="164" fontId="22" fillId="0" borderId="0" xfId="1" applyNumberFormat="1" applyFont="1"/>
    <xf numFmtId="0" fontId="23" fillId="0" borderId="3" xfId="1" applyFont="1" applyBorder="1"/>
    <xf numFmtId="164" fontId="22" fillId="0" borderId="4" xfId="1" applyNumberFormat="1" applyFont="1" applyBorder="1"/>
    <xf numFmtId="3" fontId="22" fillId="0" borderId="0" xfId="1" applyNumberFormat="1" applyFont="1"/>
    <xf numFmtId="3" fontId="22" fillId="0" borderId="4" xfId="1" applyNumberFormat="1" applyFont="1" applyBorder="1"/>
    <xf numFmtId="9" fontId="24" fillId="0" borderId="0" xfId="1" applyNumberFormat="1" applyFont="1"/>
    <xf numFmtId="9" fontId="24" fillId="0" borderId="4" xfId="1" applyNumberFormat="1" applyFont="1" applyBorder="1"/>
    <xf numFmtId="1" fontId="10" fillId="0" borderId="0" xfId="4" applyNumberFormat="1" applyFont="1" applyBorder="1"/>
    <xf numFmtId="1" fontId="10" fillId="0" borderId="4" xfId="4" applyNumberFormat="1" applyFont="1" applyBorder="1"/>
    <xf numFmtId="1" fontId="22" fillId="0" borderId="4" xfId="1" applyNumberFormat="1" applyFont="1" applyBorder="1"/>
    <xf numFmtId="4" fontId="22" fillId="0" borderId="0" xfId="1" applyNumberFormat="1" applyFont="1"/>
    <xf numFmtId="0" fontId="20" fillId="0" borderId="8" xfId="1" applyFont="1" applyBorder="1"/>
    <xf numFmtId="0" fontId="20" fillId="0" borderId="3" xfId="1" applyFont="1" applyBorder="1"/>
    <xf numFmtId="0" fontId="20" fillId="0" borderId="6" xfId="1" applyFont="1" applyBorder="1"/>
    <xf numFmtId="9" fontId="20" fillId="0" borderId="0" xfId="4" applyFont="1" applyBorder="1"/>
    <xf numFmtId="9" fontId="20" fillId="0" borderId="0" xfId="1" applyNumberFormat="1" applyFont="1"/>
    <xf numFmtId="0" fontId="23" fillId="0" borderId="8" xfId="1" applyFont="1" applyBorder="1"/>
    <xf numFmtId="170" fontId="22" fillId="0" borderId="0" xfId="1" applyNumberFormat="1" applyFont="1"/>
    <xf numFmtId="170" fontId="22" fillId="0" borderId="4" xfId="1" applyNumberFormat="1" applyFont="1" applyBorder="1"/>
    <xf numFmtId="170" fontId="20" fillId="0" borderId="0" xfId="1" applyNumberFormat="1" applyFont="1"/>
    <xf numFmtId="9" fontId="10" fillId="0" borderId="3" xfId="4" applyFont="1" applyBorder="1"/>
    <xf numFmtId="0" fontId="22" fillId="0" borderId="1" xfId="1" applyFont="1" applyBorder="1"/>
    <xf numFmtId="0" fontId="10" fillId="0" borderId="6" xfId="1" applyFont="1" applyBorder="1"/>
    <xf numFmtId="0" fontId="10" fillId="0" borderId="8" xfId="1" applyFont="1" applyBorder="1"/>
    <xf numFmtId="166" fontId="20" fillId="0" borderId="0" xfId="4" applyNumberFormat="1" applyFont="1" applyBorder="1"/>
    <xf numFmtId="49" fontId="10" fillId="0" borderId="0" xfId="1" applyNumberFormat="1" applyFont="1"/>
    <xf numFmtId="49" fontId="10" fillId="0" borderId="0" xfId="4" applyNumberFormat="1" applyFont="1" applyBorder="1"/>
    <xf numFmtId="49" fontId="10" fillId="0" borderId="4" xfId="1" applyNumberFormat="1" applyFont="1" applyBorder="1"/>
    <xf numFmtId="0" fontId="10" fillId="0" borderId="6" xfId="1" applyFont="1" applyBorder="1" applyAlignment="1">
      <alignment vertical="center" wrapText="1"/>
    </xf>
    <xf numFmtId="169" fontId="20" fillId="0" borderId="0" xfId="1" applyNumberFormat="1" applyFont="1" applyAlignment="1">
      <alignment vertical="center" wrapText="1"/>
    </xf>
    <xf numFmtId="169" fontId="20" fillId="0" borderId="4" xfId="1" applyNumberFormat="1" applyFont="1" applyBorder="1" applyAlignment="1">
      <alignment vertical="center" wrapText="1"/>
    </xf>
    <xf numFmtId="0" fontId="10" fillId="0" borderId="8" xfId="1" applyFont="1" applyBorder="1" applyAlignment="1">
      <alignment vertical="center" wrapText="1"/>
    </xf>
    <xf numFmtId="169" fontId="20" fillId="0" borderId="3" xfId="1" applyNumberFormat="1" applyFont="1" applyBorder="1" applyAlignment="1">
      <alignment vertical="center" wrapText="1"/>
    </xf>
    <xf numFmtId="169" fontId="20" fillId="0" borderId="5" xfId="1" applyNumberFormat="1" applyFont="1" applyBorder="1" applyAlignment="1">
      <alignment vertical="center" wrapText="1"/>
    </xf>
    <xf numFmtId="0" fontId="20" fillId="0" borderId="6" xfId="1" applyFont="1" applyBorder="1" applyAlignment="1">
      <alignment vertical="center" wrapText="1"/>
    </xf>
    <xf numFmtId="0" fontId="20" fillId="0" borderId="0" xfId="1" applyFont="1" applyAlignment="1">
      <alignment vertical="center" wrapText="1"/>
    </xf>
    <xf numFmtId="0" fontId="20" fillId="0" borderId="4" xfId="1" applyFont="1" applyBorder="1" applyAlignment="1">
      <alignment vertical="center" wrapText="1"/>
    </xf>
    <xf numFmtId="169" fontId="22" fillId="0" borderId="0" xfId="1" applyNumberFormat="1" applyFont="1"/>
    <xf numFmtId="169" fontId="22" fillId="0" borderId="4" xfId="1" applyNumberFormat="1" applyFont="1" applyBorder="1"/>
    <xf numFmtId="1" fontId="22" fillId="0" borderId="5" xfId="1" applyNumberFormat="1" applyFont="1" applyBorder="1"/>
    <xf numFmtId="0" fontId="20" fillId="0" borderId="5" xfId="1" applyFont="1" applyBorder="1"/>
    <xf numFmtId="0" fontId="22" fillId="0" borderId="0" xfId="1" applyFont="1" applyAlignment="1">
      <alignment vertical="center"/>
    </xf>
    <xf numFmtId="0" fontId="23" fillId="0" borderId="1" xfId="1" applyFont="1" applyBorder="1"/>
    <xf numFmtId="164" fontId="23" fillId="0" borderId="1" xfId="2" applyNumberFormat="1" applyFont="1" applyBorder="1"/>
    <xf numFmtId="164" fontId="24" fillId="0" borderId="0" xfId="1" applyNumberFormat="1" applyFont="1"/>
    <xf numFmtId="10" fontId="22" fillId="0" borderId="0" xfId="4" applyNumberFormat="1" applyFont="1"/>
    <xf numFmtId="164" fontId="22" fillId="0" borderId="0" xfId="2" applyNumberFormat="1" applyFont="1"/>
    <xf numFmtId="164" fontId="23" fillId="0" borderId="1" xfId="1" applyNumberFormat="1" applyFont="1" applyBorder="1"/>
    <xf numFmtId="10" fontId="24" fillId="0" borderId="0" xfId="4" applyNumberFormat="1" applyFont="1"/>
    <xf numFmtId="173" fontId="22" fillId="0" borderId="0" xfId="1" applyNumberFormat="1" applyFont="1"/>
    <xf numFmtId="171" fontId="22" fillId="0" borderId="0" xfId="1" applyNumberFormat="1" applyFont="1"/>
    <xf numFmtId="164" fontId="23" fillId="0" borderId="0" xfId="2" applyNumberFormat="1" applyFont="1" applyBorder="1"/>
    <xf numFmtId="1" fontId="10" fillId="0" borderId="0" xfId="2" applyNumberFormat="1" applyFont="1" applyBorder="1"/>
    <xf numFmtId="0" fontId="23" fillId="0" borderId="10" xfId="1" applyFont="1" applyBorder="1"/>
    <xf numFmtId="164" fontId="23" fillId="0" borderId="11" xfId="2" applyNumberFormat="1" applyFont="1" applyBorder="1"/>
    <xf numFmtId="164" fontId="23" fillId="0" borderId="12" xfId="2" applyNumberFormat="1" applyFont="1" applyBorder="1"/>
    <xf numFmtId="0" fontId="24" fillId="0" borderId="10" xfId="1" applyFont="1" applyBorder="1"/>
    <xf numFmtId="9" fontId="24" fillId="0" borderId="11" xfId="4" applyFont="1" applyBorder="1"/>
    <xf numFmtId="9" fontId="24" fillId="0" borderId="12" xfId="4" applyFont="1" applyBorder="1"/>
    <xf numFmtId="1" fontId="10" fillId="0" borderId="4" xfId="2" applyNumberFormat="1" applyFont="1" applyBorder="1"/>
    <xf numFmtId="9" fontId="10" fillId="0" borderId="14" xfId="4" applyFont="1" applyBorder="1"/>
    <xf numFmtId="164" fontId="22" fillId="0" borderId="4" xfId="2" applyNumberFormat="1" applyFont="1" applyBorder="1"/>
    <xf numFmtId="164" fontId="23" fillId="0" borderId="14" xfId="2" applyNumberFormat="1" applyFont="1" applyBorder="1"/>
    <xf numFmtId="164" fontId="23" fillId="0" borderId="14" xfId="1" applyNumberFormat="1" applyFont="1" applyBorder="1"/>
    <xf numFmtId="164" fontId="22" fillId="0" borderId="0" xfId="2" applyNumberFormat="1" applyFont="1" applyBorder="1"/>
    <xf numFmtId="164" fontId="22" fillId="0" borderId="3" xfId="1" applyNumberFormat="1" applyFont="1" applyBorder="1"/>
    <xf numFmtId="164" fontId="22" fillId="0" borderId="5" xfId="1" applyNumberFormat="1" applyFont="1" applyBorder="1"/>
    <xf numFmtId="166" fontId="24" fillId="0" borderId="3" xfId="1" applyNumberFormat="1" applyFont="1" applyBorder="1"/>
    <xf numFmtId="166" fontId="24" fillId="0" borderId="5" xfId="1" applyNumberFormat="1" applyFont="1" applyBorder="1"/>
    <xf numFmtId="173" fontId="22" fillId="0" borderId="4" xfId="1" applyNumberFormat="1" applyFont="1" applyBorder="1"/>
    <xf numFmtId="166" fontId="26" fillId="0" borderId="0" xfId="1" applyNumberFormat="1" applyFont="1"/>
    <xf numFmtId="2" fontId="22" fillId="0" borderId="14" xfId="1" applyNumberFormat="1" applyFont="1" applyBorder="1"/>
    <xf numFmtId="2" fontId="10" fillId="0" borderId="0" xfId="4" applyNumberFormat="1" applyFont="1" applyBorder="1"/>
    <xf numFmtId="164" fontId="10" fillId="0" borderId="14" xfId="2" applyNumberFormat="1" applyFont="1" applyBorder="1"/>
    <xf numFmtId="2" fontId="10" fillId="0" borderId="4" xfId="4" applyNumberFormat="1" applyFont="1" applyBorder="1"/>
    <xf numFmtId="0" fontId="22" fillId="0" borderId="10" xfId="1" applyFont="1" applyBorder="1"/>
    <xf numFmtId="0" fontId="22" fillId="0" borderId="11" xfId="1" applyFont="1" applyBorder="1"/>
    <xf numFmtId="166" fontId="24" fillId="0" borderId="11" xfId="1" applyNumberFormat="1" applyFont="1" applyBorder="1"/>
    <xf numFmtId="166" fontId="25" fillId="0" borderId="11" xfId="1" applyNumberFormat="1" applyFont="1" applyBorder="1"/>
    <xf numFmtId="166" fontId="25" fillId="0" borderId="12" xfId="1" applyNumberFormat="1" applyFont="1" applyBorder="1"/>
    <xf numFmtId="166" fontId="24" fillId="0" borderId="12" xfId="1" applyNumberFormat="1" applyFont="1" applyBorder="1"/>
    <xf numFmtId="0" fontId="14" fillId="0" borderId="24" xfId="1" applyFont="1" applyBorder="1" applyAlignment="1">
      <alignment vertical="center"/>
    </xf>
    <xf numFmtId="10" fontId="16" fillId="0" borderId="25" xfId="4" applyNumberFormat="1" applyFont="1" applyBorder="1" applyAlignment="1">
      <alignment vertical="center"/>
    </xf>
    <xf numFmtId="10" fontId="16" fillId="0" borderId="26" xfId="4" applyNumberFormat="1" applyFont="1" applyBorder="1" applyAlignment="1">
      <alignment vertical="center"/>
    </xf>
    <xf numFmtId="10" fontId="16" fillId="0" borderId="27" xfId="4" applyNumberFormat="1" applyFont="1" applyBorder="1" applyAlignment="1">
      <alignment vertical="center"/>
    </xf>
    <xf numFmtId="0" fontId="16" fillId="0" borderId="28" xfId="1" applyFont="1" applyBorder="1" applyAlignment="1">
      <alignment vertical="center"/>
    </xf>
    <xf numFmtId="164" fontId="14" fillId="0" borderId="29" xfId="2" applyNumberFormat="1" applyFont="1" applyBorder="1" applyAlignment="1">
      <alignment vertical="center"/>
    </xf>
    <xf numFmtId="164" fontId="14" fillId="0" borderId="30" xfId="2" applyNumberFormat="1" applyFont="1" applyBorder="1" applyAlignment="1">
      <alignment vertical="center"/>
    </xf>
    <xf numFmtId="164" fontId="14" fillId="0" borderId="31" xfId="2" applyNumberFormat="1" applyFont="1" applyBorder="1" applyAlignment="1">
      <alignment vertical="center"/>
    </xf>
    <xf numFmtId="0" fontId="17" fillId="0" borderId="32" xfId="1" applyFont="1" applyBorder="1" applyAlignment="1">
      <alignment vertical="center"/>
    </xf>
    <xf numFmtId="166" fontId="17" fillId="0" borderId="33" xfId="7" applyNumberFormat="1" applyFont="1" applyBorder="1" applyAlignment="1">
      <alignment vertical="center"/>
    </xf>
    <xf numFmtId="166" fontId="17" fillId="0" borderId="34" xfId="7" applyNumberFormat="1" applyFont="1" applyBorder="1" applyAlignment="1">
      <alignment vertical="center"/>
    </xf>
    <xf numFmtId="0" fontId="17" fillId="0" borderId="35" xfId="1" applyFont="1" applyBorder="1" applyAlignment="1">
      <alignment vertical="center"/>
    </xf>
    <xf numFmtId="0" fontId="17" fillId="0" borderId="33" xfId="1" applyFont="1" applyBorder="1" applyAlignment="1">
      <alignment vertical="center"/>
    </xf>
    <xf numFmtId="0" fontId="17" fillId="0" borderId="34" xfId="1" applyFont="1" applyBorder="1" applyAlignment="1">
      <alignment vertical="center"/>
    </xf>
    <xf numFmtId="0" fontId="16" fillId="0" borderId="32" xfId="1" applyFont="1" applyBorder="1" applyAlignment="1">
      <alignment vertical="center"/>
    </xf>
    <xf numFmtId="10" fontId="16" fillId="0" borderId="33" xfId="4" applyNumberFormat="1" applyFont="1" applyBorder="1" applyAlignment="1">
      <alignment vertical="center"/>
    </xf>
    <xf numFmtId="10" fontId="16" fillId="0" borderId="34" xfId="4" applyNumberFormat="1" applyFont="1" applyBorder="1" applyAlignment="1">
      <alignment vertical="center"/>
    </xf>
    <xf numFmtId="10" fontId="16" fillId="0" borderId="35" xfId="4" applyNumberFormat="1" applyFont="1" applyBorder="1" applyAlignment="1">
      <alignment vertical="center"/>
    </xf>
    <xf numFmtId="10" fontId="17" fillId="0" borderId="33" xfId="4" applyNumberFormat="1" applyFont="1" applyBorder="1" applyAlignment="1">
      <alignment vertical="center"/>
    </xf>
    <xf numFmtId="10" fontId="17" fillId="0" borderId="34" xfId="4" applyNumberFormat="1" applyFont="1" applyBorder="1" applyAlignment="1">
      <alignment vertical="center"/>
    </xf>
    <xf numFmtId="10" fontId="17" fillId="0" borderId="35" xfId="4" applyNumberFormat="1" applyFont="1" applyBorder="1" applyAlignment="1">
      <alignment vertical="center"/>
    </xf>
    <xf numFmtId="0" fontId="16" fillId="0" borderId="24" xfId="1" applyFont="1" applyBorder="1" applyAlignment="1">
      <alignment vertical="center"/>
    </xf>
    <xf numFmtId="164" fontId="14" fillId="0" borderId="26" xfId="2" applyNumberFormat="1" applyFont="1" applyBorder="1" applyAlignment="1">
      <alignment vertical="center"/>
    </xf>
    <xf numFmtId="164" fontId="14" fillId="0" borderId="27" xfId="2" applyNumberFormat="1" applyFont="1" applyBorder="1" applyAlignment="1">
      <alignment vertical="center"/>
    </xf>
    <xf numFmtId="164" fontId="14" fillId="0" borderId="25" xfId="2" applyNumberFormat="1" applyFont="1" applyBorder="1" applyAlignment="1">
      <alignment vertical="center"/>
    </xf>
    <xf numFmtId="0" fontId="14" fillId="0" borderId="20" xfId="1" applyFont="1" applyBorder="1" applyAlignment="1">
      <alignment horizontal="left" vertical="center"/>
    </xf>
    <xf numFmtId="164" fontId="14" fillId="0" borderId="22" xfId="5" applyNumberFormat="1" applyFont="1" applyFill="1" applyBorder="1" applyAlignment="1">
      <alignment vertical="center"/>
    </xf>
    <xf numFmtId="164" fontId="14" fillId="0" borderId="23" xfId="5" applyNumberFormat="1" applyFont="1" applyFill="1" applyBorder="1" applyAlignment="1">
      <alignment vertical="center"/>
    </xf>
    <xf numFmtId="164" fontId="14" fillId="0" borderId="21" xfId="5" applyNumberFormat="1" applyFont="1" applyFill="1" applyBorder="1" applyAlignment="1">
      <alignment vertical="center"/>
    </xf>
    <xf numFmtId="0" fontId="14" fillId="0" borderId="37" xfId="1" applyFont="1" applyBorder="1" applyAlignment="1">
      <alignment vertical="center" wrapText="1"/>
    </xf>
    <xf numFmtId="0" fontId="14" fillId="0" borderId="38" xfId="1" applyFont="1" applyBorder="1" applyAlignment="1">
      <alignment vertical="center" wrapText="1"/>
    </xf>
    <xf numFmtId="0" fontId="14" fillId="0" borderId="39" xfId="1" applyFont="1" applyBorder="1" applyAlignment="1">
      <alignment vertical="center" wrapText="1"/>
    </xf>
    <xf numFmtId="0" fontId="14" fillId="0" borderId="41" xfId="1" applyFont="1" applyBorder="1" applyAlignment="1">
      <alignment vertical="center" wrapText="1"/>
    </xf>
    <xf numFmtId="0" fontId="1" fillId="0" borderId="45" xfId="1" applyBorder="1"/>
    <xf numFmtId="49" fontId="1" fillId="0" borderId="38" xfId="1" applyNumberFormat="1" applyBorder="1"/>
    <xf numFmtId="0" fontId="1" fillId="0" borderId="38" xfId="1" applyBorder="1"/>
    <xf numFmtId="168" fontId="1" fillId="0" borderId="0" xfId="2" applyNumberFormat="1" applyFont="1" applyBorder="1"/>
    <xf numFmtId="0" fontId="3" fillId="0" borderId="46" xfId="1" applyFont="1" applyBorder="1"/>
    <xf numFmtId="0" fontId="1" fillId="0" borderId="46" xfId="1" applyBorder="1"/>
    <xf numFmtId="168" fontId="1" fillId="0" borderId="38" xfId="2" applyNumberFormat="1" applyFont="1" applyBorder="1"/>
    <xf numFmtId="168" fontId="3" fillId="0" borderId="36" xfId="2" applyNumberFormat="1" applyFont="1" applyBorder="1"/>
    <xf numFmtId="9" fontId="2" fillId="0" borderId="38" xfId="2" applyNumberFormat="1" applyFont="1" applyBorder="1"/>
    <xf numFmtId="164" fontId="1" fillId="0" borderId="0" xfId="5" applyNumberFormat="1" applyFont="1" applyBorder="1"/>
    <xf numFmtId="164" fontId="1" fillId="0" borderId="38" xfId="5" applyNumberFormat="1" applyFont="1" applyBorder="1"/>
    <xf numFmtId="0" fontId="3" fillId="0" borderId="45" xfId="1" applyFont="1" applyBorder="1"/>
    <xf numFmtId="168" fontId="1" fillId="0" borderId="0" xfId="4" applyNumberFormat="1" applyFont="1" applyBorder="1"/>
    <xf numFmtId="0" fontId="1" fillId="0" borderId="47" xfId="1" applyBorder="1"/>
    <xf numFmtId="164" fontId="2" fillId="0" borderId="0" xfId="1" applyNumberFormat="1" applyFont="1"/>
    <xf numFmtId="9" fontId="1" fillId="0" borderId="45" xfId="1" applyNumberFormat="1" applyBorder="1"/>
    <xf numFmtId="171" fontId="1" fillId="0" borderId="48" xfId="1" applyNumberFormat="1" applyBorder="1"/>
    <xf numFmtId="10" fontId="1" fillId="0" borderId="49" xfId="2" applyNumberFormat="1" applyFont="1" applyBorder="1"/>
    <xf numFmtId="9" fontId="2" fillId="0" borderId="49" xfId="2" applyNumberFormat="1" applyFont="1" applyBorder="1"/>
    <xf numFmtId="0" fontId="1" fillId="0" borderId="49" xfId="1" applyBorder="1"/>
    <xf numFmtId="0" fontId="1" fillId="0" borderId="50" xfId="1" applyBorder="1"/>
    <xf numFmtId="164" fontId="0" fillId="0" borderId="38" xfId="2" applyNumberFormat="1" applyFont="1" applyBorder="1"/>
    <xf numFmtId="164" fontId="3" fillId="0" borderId="36" xfId="1" applyNumberFormat="1" applyFont="1" applyBorder="1"/>
    <xf numFmtId="168" fontId="1" fillId="0" borderId="38" xfId="4" applyNumberFormat="1" applyFont="1" applyBorder="1"/>
    <xf numFmtId="168" fontId="1" fillId="0" borderId="38" xfId="1" applyNumberFormat="1" applyBorder="1"/>
    <xf numFmtId="1" fontId="1" fillId="0" borderId="38" xfId="1" applyNumberFormat="1" applyBorder="1"/>
    <xf numFmtId="168" fontId="3" fillId="0" borderId="36" xfId="1" applyNumberFormat="1" applyFont="1" applyBorder="1"/>
    <xf numFmtId="0" fontId="1" fillId="0" borderId="51" xfId="1" applyBorder="1"/>
    <xf numFmtId="164" fontId="1" fillId="0" borderId="38" xfId="1" applyNumberFormat="1" applyBorder="1"/>
    <xf numFmtId="164" fontId="2" fillId="0" borderId="38" xfId="1" applyNumberFormat="1" applyFont="1" applyBorder="1"/>
    <xf numFmtId="9" fontId="2" fillId="0" borderId="50" xfId="2" applyNumberFormat="1" applyFont="1" applyBorder="1"/>
    <xf numFmtId="9" fontId="8" fillId="0" borderId="0" xfId="1" applyNumberFormat="1" applyFont="1"/>
    <xf numFmtId="9" fontId="8" fillId="0" borderId="38" xfId="1" applyNumberFormat="1" applyFont="1" applyBorder="1"/>
    <xf numFmtId="0" fontId="1" fillId="0" borderId="48" xfId="1" applyBorder="1"/>
    <xf numFmtId="164" fontId="0" fillId="0" borderId="49" xfId="2" applyNumberFormat="1" applyFont="1" applyBorder="1"/>
    <xf numFmtId="164" fontId="0" fillId="0" borderId="50" xfId="2" applyNumberFormat="1" applyFont="1" applyBorder="1"/>
    <xf numFmtId="0" fontId="10" fillId="0" borderId="49" xfId="0" applyFont="1" applyBorder="1"/>
    <xf numFmtId="0" fontId="10" fillId="0" borderId="6" xfId="0" applyFont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10" fillId="0" borderId="4" xfId="0" applyFont="1" applyBorder="1" applyAlignment="1">
      <alignment vertical="top" wrapText="1"/>
    </xf>
    <xf numFmtId="0" fontId="10" fillId="0" borderId="8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0" fillId="0" borderId="5" xfId="0" applyFont="1" applyBorder="1" applyAlignment="1">
      <alignment vertical="top" wrapText="1"/>
    </xf>
    <xf numFmtId="43" fontId="22" fillId="0" borderId="0" xfId="1" applyNumberFormat="1" applyFont="1"/>
    <xf numFmtId="174" fontId="22" fillId="0" borderId="0" xfId="1" applyNumberFormat="1" applyFont="1"/>
    <xf numFmtId="0" fontId="20" fillId="0" borderId="52" xfId="1" applyFont="1" applyBorder="1"/>
    <xf numFmtId="0" fontId="20" fillId="0" borderId="2" xfId="1" applyFont="1" applyBorder="1"/>
    <xf numFmtId="2" fontId="23" fillId="0" borderId="16" xfId="1" applyNumberFormat="1" applyFont="1" applyBorder="1"/>
    <xf numFmtId="0" fontId="23" fillId="0" borderId="7" xfId="1" applyFont="1" applyBorder="1"/>
    <xf numFmtId="0" fontId="23" fillId="0" borderId="5" xfId="1" applyFont="1" applyBorder="1"/>
    <xf numFmtId="10" fontId="23" fillId="0" borderId="3" xfId="1" applyNumberFormat="1" applyFont="1" applyBorder="1"/>
    <xf numFmtId="10" fontId="23" fillId="0" borderId="5" xfId="1" applyNumberFormat="1" applyFont="1" applyBorder="1"/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1" fillId="3" borderId="8" xfId="0" applyFont="1" applyFill="1" applyBorder="1" applyAlignment="1">
      <alignment horizontal="center" vertical="top"/>
    </xf>
    <xf numFmtId="0" fontId="11" fillId="3" borderId="3" xfId="0" applyFont="1" applyFill="1" applyBorder="1" applyAlignment="1">
      <alignment horizontal="center" vertical="top"/>
    </xf>
    <xf numFmtId="0" fontId="11" fillId="3" borderId="6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21" fillId="3" borderId="13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4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0" fontId="13" fillId="3" borderId="6" xfId="1" applyFont="1" applyFill="1" applyBorder="1" applyAlignment="1">
      <alignment horizontal="center" vertical="center"/>
    </xf>
    <xf numFmtId="0" fontId="13" fillId="3" borderId="0" xfId="1" applyFont="1" applyFill="1" applyAlignment="1">
      <alignment horizontal="center" vertical="center"/>
    </xf>
    <xf numFmtId="0" fontId="13" fillId="3" borderId="4" xfId="1" applyFont="1" applyFill="1" applyBorder="1" applyAlignment="1">
      <alignment horizontal="center" vertical="center"/>
    </xf>
    <xf numFmtId="0" fontId="14" fillId="0" borderId="40" xfId="1" applyFont="1" applyBorder="1" applyAlignment="1">
      <alignment horizontal="left" vertical="center"/>
    </xf>
    <xf numFmtId="0" fontId="14" fillId="0" borderId="41" xfId="1" applyFont="1" applyBorder="1" applyAlignment="1">
      <alignment horizontal="left" vertical="center"/>
    </xf>
    <xf numFmtId="0" fontId="14" fillId="0" borderId="40" xfId="1" applyFont="1" applyBorder="1" applyAlignment="1">
      <alignment horizontal="left" vertical="center" wrapText="1"/>
    </xf>
    <xf numFmtId="0" fontId="14" fillId="0" borderId="41" xfId="1" applyFont="1" applyBorder="1" applyAlignment="1">
      <alignment horizontal="left" vertical="center" wrapText="1"/>
    </xf>
    <xf numFmtId="0" fontId="13" fillId="3" borderId="13" xfId="1" applyFont="1" applyFill="1" applyBorder="1" applyAlignment="1">
      <alignment horizontal="center" vertical="center"/>
    </xf>
    <xf numFmtId="0" fontId="13" fillId="3" borderId="1" xfId="1" applyFont="1" applyFill="1" applyBorder="1" applyAlignment="1">
      <alignment horizontal="center" vertical="center"/>
    </xf>
    <xf numFmtId="0" fontId="13" fillId="3" borderId="14" xfId="1" applyFont="1" applyFill="1" applyBorder="1" applyAlignment="1">
      <alignment horizontal="center" vertical="center"/>
    </xf>
    <xf numFmtId="0" fontId="21" fillId="3" borderId="13" xfId="1" applyFont="1" applyFill="1" applyBorder="1" applyAlignment="1">
      <alignment horizontal="center" vertical="center"/>
    </xf>
    <xf numFmtId="0" fontId="21" fillId="3" borderId="1" xfId="1" applyFont="1" applyFill="1" applyBorder="1" applyAlignment="1">
      <alignment horizontal="center" vertical="center"/>
    </xf>
    <xf numFmtId="0" fontId="21" fillId="3" borderId="14" xfId="1" applyFont="1" applyFill="1" applyBorder="1" applyAlignment="1">
      <alignment horizontal="center" vertical="center"/>
    </xf>
    <xf numFmtId="0" fontId="20" fillId="0" borderId="10" xfId="1" applyFont="1" applyBorder="1" applyAlignment="1">
      <alignment horizontal="center"/>
    </xf>
    <xf numFmtId="0" fontId="20" fillId="0" borderId="11" xfId="1" applyFont="1" applyBorder="1" applyAlignment="1">
      <alignment horizontal="center"/>
    </xf>
    <xf numFmtId="0" fontId="20" fillId="0" borderId="12" xfId="1" applyFont="1" applyBorder="1" applyAlignment="1">
      <alignment horizontal="center"/>
    </xf>
    <xf numFmtId="0" fontId="23" fillId="0" borderId="10" xfId="1" applyFont="1" applyBorder="1" applyAlignment="1">
      <alignment horizontal="center"/>
    </xf>
    <xf numFmtId="0" fontId="23" fillId="0" borderId="11" xfId="1" applyFont="1" applyBorder="1" applyAlignment="1">
      <alignment horizontal="center"/>
    </xf>
    <xf numFmtId="0" fontId="23" fillId="0" borderId="12" xfId="1" applyFont="1" applyBorder="1" applyAlignment="1">
      <alignment horizontal="center"/>
    </xf>
    <xf numFmtId="0" fontId="23" fillId="0" borderId="17" xfId="1" applyFont="1" applyBorder="1" applyAlignment="1">
      <alignment horizontal="center" vertical="center"/>
    </xf>
    <xf numFmtId="0" fontId="23" fillId="0" borderId="18" xfId="1" applyFont="1" applyBorder="1" applyAlignment="1">
      <alignment horizontal="center" vertical="center"/>
    </xf>
    <xf numFmtId="0" fontId="23" fillId="0" borderId="19" xfId="1" applyFont="1" applyBorder="1" applyAlignment="1">
      <alignment horizontal="center" vertical="center"/>
    </xf>
    <xf numFmtId="0" fontId="19" fillId="0" borderId="13" xfId="1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23" fillId="0" borderId="6" xfId="1" applyFont="1" applyBorder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3" fillId="0" borderId="4" xfId="1" applyFont="1" applyBorder="1" applyAlignment="1">
      <alignment horizontal="center" vertical="center"/>
    </xf>
    <xf numFmtId="0" fontId="7" fillId="3" borderId="42" xfId="1" applyFont="1" applyFill="1" applyBorder="1" applyAlignment="1">
      <alignment horizontal="center"/>
    </xf>
    <xf numFmtId="0" fontId="7" fillId="3" borderId="43" xfId="1" applyFont="1" applyFill="1" applyBorder="1" applyAlignment="1">
      <alignment horizontal="center"/>
    </xf>
    <xf numFmtId="0" fontId="7" fillId="3" borderId="44" xfId="1" applyFont="1" applyFill="1" applyBorder="1" applyAlignment="1">
      <alignment horizontal="center"/>
    </xf>
  </cellXfs>
  <cellStyles count="9">
    <cellStyle name="Comma" xfId="5" builtinId="3"/>
    <cellStyle name="Comma 2" xfId="2" xr:uid="{DE34184D-A4CD-4076-A24C-4BA35FB34F6B}"/>
    <cellStyle name="Currency" xfId="6" builtinId="4"/>
    <cellStyle name="Currency 2" xfId="3" xr:uid="{16469E5A-6F85-4C45-AE1C-751C9C07D127}"/>
    <cellStyle name="Hyperlink" xfId="8" builtinId="8"/>
    <cellStyle name="Normal" xfId="0" builtinId="0"/>
    <cellStyle name="Normal 2" xfId="1" xr:uid="{26918499-31C6-42ED-8558-0FE854AF81DD}"/>
    <cellStyle name="Per cent" xfId="7" builtinId="5"/>
    <cellStyle name="Per cent 2" xfId="4" xr:uid="{6A600957-C7D5-449B-B8BE-B5605CE5F9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2</xdr:row>
      <xdr:rowOff>104774</xdr:rowOff>
    </xdr:from>
    <xdr:to>
      <xdr:col>10</xdr:col>
      <xdr:colOff>466725</xdr:colOff>
      <xdr:row>8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EF8DE58-D231-8308-16FF-69326ABCFDEF}"/>
            </a:ext>
          </a:extLst>
        </xdr:cNvPr>
        <xdr:cNvSpPr txBox="1"/>
      </xdr:nvSpPr>
      <xdr:spPr>
        <a:xfrm>
          <a:off x="4629150" y="761999"/>
          <a:ext cx="3648075" cy="12192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>
            <a:spcBef>
              <a:spcPts val="0"/>
            </a:spcBef>
          </a:pPr>
          <a:r>
            <a:rPr lang="en-GB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 Largest listed farmland operator in Brazil</a:t>
          </a:r>
        </a:p>
        <a:p>
          <a:pPr algn="just">
            <a:spcBef>
              <a:spcPts val="0"/>
            </a:spcBef>
          </a:pPr>
          <a:r>
            <a:rPr lang="en-GB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 837k hectares of planted area </a:t>
          </a:r>
        </a:p>
        <a:p>
          <a:pPr algn="just">
            <a:spcBef>
              <a:spcPts val="0"/>
            </a:spcBef>
          </a:pPr>
          <a:r>
            <a:rPr lang="en-GB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 Main crops: Soybeans, Cotton and Corn </a:t>
          </a:r>
        </a:p>
        <a:p>
          <a:pPr algn="just">
            <a:spcBef>
              <a:spcPts val="0"/>
            </a:spcBef>
          </a:pPr>
          <a:r>
            <a:rPr lang="en-GB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 38% owned land, 53% leased land </a:t>
          </a:r>
        </a:p>
        <a:p>
          <a:pPr algn="just">
            <a:spcBef>
              <a:spcPts val="0"/>
            </a:spcBef>
          </a:pPr>
          <a:r>
            <a:rPr lang="en-GB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 Scale advantages</a:t>
          </a:r>
        </a:p>
        <a:p>
          <a:pPr algn="just">
            <a:spcBef>
              <a:spcPts val="0"/>
            </a:spcBef>
          </a:pPr>
          <a:r>
            <a:rPr lang="en-GB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 81</a:t>
          </a:r>
          <a:r>
            <a:rPr lang="en-GB" sz="11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years </a:t>
          </a:r>
          <a:r>
            <a:rPr lang="en-GB"/>
            <a:t>of operating history</a:t>
          </a:r>
          <a:endParaRPr lang="en-GB" sz="1100" baseline="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inkedin.com/in/tiagonunescousseau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2CA4-0DDE-4621-A71F-18CEA0F1AB5A}">
  <dimension ref="A1"/>
  <sheetViews>
    <sheetView workbookViewId="0">
      <selection activeCell="A2" sqref="A2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C5EF7-0FEA-423D-A41B-CD544D84414C}">
  <sheetPr>
    <tabColor theme="3" tint="0.249977111117893"/>
    <pageSetUpPr autoPageBreaks="0"/>
  </sheetPr>
  <dimension ref="A1:K22"/>
  <sheetViews>
    <sheetView showGridLines="0" tabSelected="1" zoomScaleNormal="100" workbookViewId="0">
      <selection activeCell="O10" sqref="O10"/>
    </sheetView>
  </sheetViews>
  <sheetFormatPr defaultRowHeight="15" x14ac:dyDescent="0.25"/>
  <cols>
    <col min="1" max="1" width="1.85546875" style="47" customWidth="1"/>
    <col min="2" max="2" width="26.42578125" style="47" bestFit="1" customWidth="1"/>
    <col min="3" max="3" width="16.7109375" style="47" customWidth="1"/>
    <col min="4" max="4" width="9.140625" style="47"/>
    <col min="5" max="5" width="10.28515625" style="47" bestFit="1" customWidth="1"/>
    <col min="6" max="6" width="1.85546875" style="47" customWidth="1"/>
    <col min="7" max="8" width="9.140625" style="47"/>
    <col min="9" max="9" width="23.42578125" style="47" customWidth="1"/>
    <col min="10" max="16384" width="9.140625" style="47"/>
  </cols>
  <sheetData>
    <row r="1" spans="1:11" ht="30" customHeight="1" x14ac:dyDescent="0.25">
      <c r="A1" s="367" t="s">
        <v>234</v>
      </c>
      <c r="B1" s="368"/>
      <c r="C1" s="368"/>
      <c r="D1" s="368"/>
      <c r="E1" s="368"/>
      <c r="F1" s="368"/>
      <c r="G1" s="373" t="s">
        <v>305</v>
      </c>
      <c r="H1" s="374"/>
      <c r="I1" s="374"/>
      <c r="J1" s="374"/>
      <c r="K1" s="375"/>
    </row>
    <row r="2" spans="1:11" ht="21.75" customHeight="1" x14ac:dyDescent="0.25">
      <c r="A2" s="369" t="s">
        <v>244</v>
      </c>
      <c r="B2" s="370"/>
      <c r="C2" s="370"/>
      <c r="D2" s="370"/>
      <c r="E2" s="370"/>
      <c r="F2" s="370"/>
      <c r="G2" s="376"/>
      <c r="H2" s="377"/>
      <c r="I2" s="377"/>
      <c r="J2" s="377"/>
      <c r="K2" s="378"/>
    </row>
    <row r="3" spans="1:11" x14ac:dyDescent="0.25">
      <c r="G3" s="352"/>
      <c r="H3" s="353"/>
      <c r="I3" s="353"/>
      <c r="J3" s="353"/>
      <c r="K3" s="354"/>
    </row>
    <row r="4" spans="1:11" x14ac:dyDescent="0.25">
      <c r="B4" s="47" t="s">
        <v>235</v>
      </c>
      <c r="E4" s="47" t="s">
        <v>236</v>
      </c>
      <c r="G4" s="352"/>
      <c r="H4" s="353"/>
      <c r="I4" s="353"/>
      <c r="J4" s="353"/>
      <c r="K4" s="354"/>
    </row>
    <row r="5" spans="1:11" x14ac:dyDescent="0.25">
      <c r="B5" s="48" t="s">
        <v>272</v>
      </c>
      <c r="G5" s="352"/>
      <c r="H5" s="353"/>
      <c r="I5" s="353"/>
      <c r="J5" s="353"/>
      <c r="K5" s="354"/>
    </row>
    <row r="6" spans="1:11" x14ac:dyDescent="0.25">
      <c r="A6" s="49"/>
      <c r="B6" s="49"/>
      <c r="C6" s="50"/>
      <c r="D6" s="49"/>
      <c r="E6" s="49"/>
      <c r="F6" s="49"/>
      <c r="G6" s="352"/>
      <c r="H6" s="353"/>
      <c r="I6" s="353"/>
      <c r="J6" s="353"/>
      <c r="K6" s="354"/>
    </row>
    <row r="7" spans="1:11" x14ac:dyDescent="0.25">
      <c r="G7" s="352"/>
      <c r="H7" s="353"/>
      <c r="I7" s="353"/>
      <c r="J7" s="353"/>
      <c r="K7" s="354"/>
    </row>
    <row r="8" spans="1:11" ht="18.75" customHeight="1" x14ac:dyDescent="0.25">
      <c r="B8" s="47" t="s">
        <v>237</v>
      </c>
      <c r="E8" s="51">
        <f>DCF!B38</f>
        <v>17.334817630512529</v>
      </c>
      <c r="G8" s="352"/>
      <c r="H8" s="353"/>
      <c r="I8" s="353"/>
      <c r="J8" s="353"/>
      <c r="K8" s="354"/>
    </row>
    <row r="9" spans="1:11" ht="18.75" customHeight="1" x14ac:dyDescent="0.25">
      <c r="B9" s="47" t="s">
        <v>240</v>
      </c>
      <c r="E9" s="51">
        <v>17.5</v>
      </c>
      <c r="G9" s="352"/>
      <c r="H9" s="353"/>
      <c r="I9" s="353"/>
      <c r="J9" s="353"/>
      <c r="K9" s="354"/>
    </row>
    <row r="10" spans="1:11" ht="18.75" customHeight="1" x14ac:dyDescent="0.25">
      <c r="B10" s="47" t="s">
        <v>238</v>
      </c>
      <c r="E10" s="52">
        <f>(E8-E9)/E8</f>
        <v>-9.5289360989134087E-3</v>
      </c>
      <c r="G10" s="352"/>
      <c r="H10" s="353"/>
      <c r="I10" s="353"/>
      <c r="J10" s="353"/>
      <c r="K10" s="354"/>
    </row>
    <row r="11" spans="1:11" ht="18.75" customHeight="1" x14ac:dyDescent="0.25">
      <c r="B11" s="47" t="s">
        <v>239</v>
      </c>
      <c r="E11" s="53">
        <f>WACC</f>
        <v>0.13628945421820943</v>
      </c>
      <c r="G11" s="352"/>
      <c r="H11" s="353"/>
      <c r="I11" s="353"/>
      <c r="J11" s="353"/>
      <c r="K11" s="354"/>
    </row>
    <row r="12" spans="1:11" x14ac:dyDescent="0.25">
      <c r="G12" s="352"/>
      <c r="H12" s="353"/>
      <c r="I12" s="353"/>
      <c r="J12" s="353"/>
      <c r="K12" s="354"/>
    </row>
    <row r="13" spans="1:11" ht="19.5" customHeight="1" x14ac:dyDescent="0.25">
      <c r="A13" s="371" t="s">
        <v>241</v>
      </c>
      <c r="B13" s="372"/>
      <c r="C13" s="372"/>
      <c r="D13" s="372"/>
      <c r="E13" s="372"/>
      <c r="F13" s="372"/>
      <c r="G13" s="352"/>
      <c r="H13" s="353"/>
      <c r="I13" s="353"/>
      <c r="J13" s="353"/>
      <c r="K13" s="354"/>
    </row>
    <row r="14" spans="1:11" x14ac:dyDescent="0.25">
      <c r="G14" s="352"/>
      <c r="H14" s="353"/>
      <c r="I14" s="353"/>
      <c r="J14" s="353"/>
      <c r="K14" s="354"/>
    </row>
    <row r="15" spans="1:11" ht="18.75" customHeight="1" x14ac:dyDescent="0.25">
      <c r="B15" s="47" t="s">
        <v>242</v>
      </c>
      <c r="E15" s="51"/>
      <c r="G15" s="352"/>
      <c r="H15" s="353"/>
      <c r="I15" s="353"/>
      <c r="J15" s="353"/>
      <c r="K15" s="354"/>
    </row>
    <row r="16" spans="1:11" ht="18.75" customHeight="1" x14ac:dyDescent="0.25">
      <c r="B16" s="47" t="s">
        <v>243</v>
      </c>
      <c r="E16" s="51"/>
      <c r="G16" s="352"/>
      <c r="H16" s="353"/>
      <c r="I16" s="353"/>
      <c r="J16" s="353"/>
      <c r="K16" s="354"/>
    </row>
    <row r="17" spans="1:11" ht="18.75" customHeight="1" x14ac:dyDescent="0.25">
      <c r="B17" s="47" t="s">
        <v>306</v>
      </c>
      <c r="E17" s="51"/>
      <c r="G17" s="352"/>
      <c r="H17" s="353"/>
      <c r="I17" s="353"/>
      <c r="J17" s="353"/>
      <c r="K17" s="354"/>
    </row>
    <row r="18" spans="1:11" ht="18.75" customHeight="1" x14ac:dyDescent="0.25">
      <c r="B18" s="47" t="s">
        <v>245</v>
      </c>
      <c r="E18" s="51"/>
      <c r="G18" s="352"/>
      <c r="H18" s="353"/>
      <c r="I18" s="353"/>
      <c r="J18" s="353"/>
      <c r="K18" s="354"/>
    </row>
    <row r="19" spans="1:11" ht="18.75" customHeight="1" x14ac:dyDescent="0.25">
      <c r="A19" s="351"/>
      <c r="B19" s="49"/>
      <c r="C19" s="351"/>
      <c r="D19" s="351"/>
      <c r="E19" s="351"/>
      <c r="F19" s="351"/>
      <c r="G19" s="355"/>
      <c r="H19" s="356"/>
      <c r="I19" s="356"/>
      <c r="J19" s="356"/>
      <c r="K19" s="357"/>
    </row>
    <row r="20" spans="1:11" ht="18.75" customHeight="1" x14ac:dyDescent="0.25"/>
    <row r="21" spans="1:11" ht="18.75" customHeight="1" x14ac:dyDescent="0.25"/>
    <row r="22" spans="1:11" ht="18.75" customHeight="1" x14ac:dyDescent="0.25"/>
  </sheetData>
  <mergeCells count="4">
    <mergeCell ref="A1:F1"/>
    <mergeCell ref="A2:F2"/>
    <mergeCell ref="A13:F13"/>
    <mergeCell ref="G1:K2"/>
  </mergeCells>
  <hyperlinks>
    <hyperlink ref="B5" r:id="rId1" display="Linkedin" xr:uid="{F3465C5D-3130-42B6-B230-5C4E184FA1BD}"/>
  </hyperlinks>
  <pageMargins left="0.7" right="0.7" top="0.75" bottom="0.75" header="0.3" footer="0.3"/>
  <pageSetup paperSize="9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E64E0-3E22-40FA-AFF5-911EDB837A8A}">
  <sheetPr>
    <tabColor rgb="FFFFFFCC"/>
    <pageSetUpPr autoPageBreaks="0"/>
  </sheetPr>
  <dimension ref="A1:S40"/>
  <sheetViews>
    <sheetView showGridLines="0" workbookViewId="0">
      <selection activeCell="D34" sqref="D34"/>
    </sheetView>
  </sheetViews>
  <sheetFormatPr defaultRowHeight="12.75" x14ac:dyDescent="0.2"/>
  <cols>
    <col min="1" max="1" width="23.28515625" style="57" bestFit="1" customWidth="1"/>
    <col min="2" max="2" width="11.5703125" style="57" bestFit="1" customWidth="1"/>
    <col min="3" max="5" width="11" style="57" bestFit="1" customWidth="1"/>
    <col min="6" max="6" width="11.5703125" style="57" bestFit="1" customWidth="1"/>
    <col min="7" max="7" width="2.85546875" style="57" customWidth="1"/>
    <col min="8" max="8" width="48.28515625" style="105" bestFit="1" customWidth="1"/>
    <col min="9" max="9" width="10.7109375" style="57" bestFit="1" customWidth="1"/>
    <col min="10" max="10" width="9.140625" style="57"/>
    <col min="11" max="12" width="9.140625" style="57" customWidth="1"/>
    <col min="13" max="13" width="10.5703125" style="57" customWidth="1"/>
    <col min="14" max="14" width="10.28515625" style="57" customWidth="1"/>
    <col min="15" max="16384" width="9.140625" style="57"/>
  </cols>
  <sheetData>
    <row r="1" spans="1:19" ht="24" customHeight="1" x14ac:dyDescent="0.2">
      <c r="A1" s="386" t="s">
        <v>246</v>
      </c>
      <c r="B1" s="387"/>
      <c r="C1" s="387"/>
      <c r="D1" s="387"/>
      <c r="E1" s="387"/>
      <c r="F1" s="388"/>
      <c r="G1" s="54"/>
      <c r="H1" s="55" t="s">
        <v>241</v>
      </c>
      <c r="I1" s="56"/>
      <c r="J1" s="56"/>
      <c r="K1" s="56"/>
      <c r="L1" s="56"/>
      <c r="M1" s="56"/>
    </row>
    <row r="2" spans="1:19" s="59" customFormat="1" ht="17.25" customHeight="1" x14ac:dyDescent="0.25">
      <c r="A2" s="58"/>
      <c r="B2" s="60">
        <v>2026</v>
      </c>
      <c r="C2" s="60">
        <v>2027</v>
      </c>
      <c r="D2" s="60">
        <v>2028</v>
      </c>
      <c r="E2" s="60">
        <v>2029</v>
      </c>
      <c r="F2" s="61">
        <v>2030</v>
      </c>
      <c r="G2" s="62"/>
      <c r="H2" s="63"/>
      <c r="S2" s="64"/>
    </row>
    <row r="3" spans="1:19" s="59" customFormat="1" ht="11.25" customHeight="1" x14ac:dyDescent="0.25">
      <c r="A3" s="58"/>
      <c r="B3" s="60" t="s">
        <v>257</v>
      </c>
      <c r="C3" s="60" t="s">
        <v>257</v>
      </c>
      <c r="D3" s="60" t="s">
        <v>257</v>
      </c>
      <c r="E3" s="60" t="s">
        <v>257</v>
      </c>
      <c r="F3" s="60" t="s">
        <v>257</v>
      </c>
      <c r="G3" s="62"/>
      <c r="H3" s="63"/>
      <c r="S3" s="64"/>
    </row>
    <row r="4" spans="1:19" s="59" customFormat="1" ht="38.25" x14ac:dyDescent="0.25">
      <c r="A4" s="307" t="s">
        <v>247</v>
      </c>
      <c r="B4" s="308">
        <f>'Income Statement'!O18</f>
        <v>9360729.0478743613</v>
      </c>
      <c r="C4" s="308">
        <f>'Income Statement'!P18</f>
        <v>11616585.23771714</v>
      </c>
      <c r="D4" s="308">
        <f>'Income Statement'!Q18</f>
        <v>12399654.825129695</v>
      </c>
      <c r="E4" s="308">
        <f>'Income Statement'!R18</f>
        <v>13848821.90474299</v>
      </c>
      <c r="F4" s="309">
        <f>'Income Statement'!S18</f>
        <v>14465023.051629204</v>
      </c>
      <c r="G4" s="310"/>
      <c r="H4" s="311" t="s">
        <v>248</v>
      </c>
      <c r="S4" s="64"/>
    </row>
    <row r="5" spans="1:19" s="59" customFormat="1" x14ac:dyDescent="0.25">
      <c r="A5" s="58"/>
      <c r="F5" s="65"/>
      <c r="G5" s="62"/>
      <c r="H5" s="312"/>
      <c r="S5" s="64"/>
    </row>
    <row r="6" spans="1:19" s="59" customFormat="1" ht="51" x14ac:dyDescent="0.25">
      <c r="A6" s="303" t="s">
        <v>14</v>
      </c>
      <c r="B6" s="304">
        <f>'Income Statement'!O69</f>
        <v>523085.83336525614</v>
      </c>
      <c r="C6" s="304">
        <f>'Income Statement'!P69</f>
        <v>871637.21450379328</v>
      </c>
      <c r="D6" s="304">
        <f>'Income Statement'!Q69</f>
        <v>976386.79145446653</v>
      </c>
      <c r="E6" s="304">
        <f>'Income Statement'!R69</f>
        <v>1189460.0089185552</v>
      </c>
      <c r="F6" s="305">
        <f>'Income Statement'!S69</f>
        <v>1266856.3449780969</v>
      </c>
      <c r="G6" s="306"/>
      <c r="H6" s="313" t="s">
        <v>273</v>
      </c>
      <c r="I6" s="70"/>
    </row>
    <row r="7" spans="1:19" s="59" customFormat="1" x14ac:dyDescent="0.25">
      <c r="A7" s="66"/>
      <c r="B7" s="67"/>
      <c r="C7" s="67"/>
      <c r="D7" s="67"/>
      <c r="E7" s="67"/>
      <c r="F7" s="68"/>
      <c r="G7" s="69"/>
      <c r="H7" s="312"/>
      <c r="I7" s="70"/>
    </row>
    <row r="8" spans="1:19" s="59" customFormat="1" x14ac:dyDescent="0.25">
      <c r="A8" s="286" t="str">
        <f>_xlfn.UNICHAR(916) &amp; " WC"</f>
        <v>Δ WC</v>
      </c>
      <c r="B8" s="287">
        <f>'Income Statement'!O18*B9</f>
        <v>140410.93571811542</v>
      </c>
      <c r="C8" s="287">
        <f>'Income Statement'!P18*C9</f>
        <v>174248.77856575709</v>
      </c>
      <c r="D8" s="287">
        <f>'Income Statement'!Q18*D9</f>
        <v>185994.82237694543</v>
      </c>
      <c r="E8" s="287">
        <f>'Income Statement'!R18*E9</f>
        <v>207732.32857114484</v>
      </c>
      <c r="F8" s="288">
        <f>'Income Statement'!S18*F9</f>
        <v>216975.34577443806</v>
      </c>
      <c r="G8" s="289"/>
      <c r="H8" s="384" t="s">
        <v>249</v>
      </c>
      <c r="I8" s="70"/>
    </row>
    <row r="9" spans="1:19" s="59" customFormat="1" x14ac:dyDescent="0.25">
      <c r="A9" s="290" t="s">
        <v>13</v>
      </c>
      <c r="B9" s="300">
        <v>1.4999999999999999E-2</v>
      </c>
      <c r="C9" s="300">
        <v>1.4999999999999999E-2</v>
      </c>
      <c r="D9" s="300">
        <v>1.4999999999999999E-2</v>
      </c>
      <c r="E9" s="300">
        <v>1.4999999999999999E-2</v>
      </c>
      <c r="F9" s="301">
        <v>1.4999999999999999E-2</v>
      </c>
      <c r="G9" s="302"/>
      <c r="H9" s="385"/>
      <c r="I9" s="71"/>
    </row>
    <row r="10" spans="1:19" s="59" customFormat="1" x14ac:dyDescent="0.25">
      <c r="A10" s="296"/>
      <c r="B10" s="297"/>
      <c r="C10" s="297"/>
      <c r="D10" s="297"/>
      <c r="E10" s="297"/>
      <c r="F10" s="298"/>
      <c r="G10" s="299"/>
      <c r="H10" s="314"/>
      <c r="I10" s="71"/>
    </row>
    <row r="11" spans="1:19" s="59" customFormat="1" x14ac:dyDescent="0.25">
      <c r="A11" s="286" t="s">
        <v>274</v>
      </c>
      <c r="B11" s="287">
        <f>'▲ PPE'!AC118</f>
        <v>385111.08</v>
      </c>
      <c r="C11" s="287">
        <f>'▲ PPE'!AD118</f>
        <v>404366.63400000002</v>
      </c>
      <c r="D11" s="287">
        <f>'▲ PPE'!AE118</f>
        <v>424584.9657</v>
      </c>
      <c r="E11" s="287">
        <f>'▲ PPE'!AF118</f>
        <v>445814.21398500004</v>
      </c>
      <c r="F11" s="288">
        <f>'▲ PPE'!AG118</f>
        <v>468104.92468425003</v>
      </c>
      <c r="G11" s="289"/>
      <c r="H11" s="384" t="s">
        <v>250</v>
      </c>
      <c r="I11" s="71"/>
    </row>
    <row r="12" spans="1:19" s="59" customFormat="1" x14ac:dyDescent="0.25">
      <c r="A12" s="290" t="s">
        <v>12</v>
      </c>
      <c r="B12" s="294">
        <v>0.4</v>
      </c>
      <c r="C12" s="294">
        <v>0.4</v>
      </c>
      <c r="D12" s="294">
        <v>0.4</v>
      </c>
      <c r="E12" s="294">
        <v>0.4</v>
      </c>
      <c r="F12" s="295">
        <v>0.4</v>
      </c>
      <c r="G12" s="293"/>
      <c r="H12" s="385"/>
      <c r="I12" s="71"/>
    </row>
    <row r="13" spans="1:19" s="59" customFormat="1" x14ac:dyDescent="0.25">
      <c r="A13" s="296"/>
      <c r="B13" s="297"/>
      <c r="C13" s="297"/>
      <c r="D13" s="297"/>
      <c r="E13" s="297"/>
      <c r="F13" s="298"/>
      <c r="G13" s="299"/>
      <c r="H13" s="314"/>
      <c r="I13" s="71"/>
    </row>
    <row r="14" spans="1:19" s="59" customFormat="1" ht="25.5" customHeight="1" x14ac:dyDescent="0.25">
      <c r="A14" s="286" t="s">
        <v>275</v>
      </c>
      <c r="B14" s="287">
        <f>'▲ PPE'!AC138</f>
        <v>346599.97200000007</v>
      </c>
      <c r="C14" s="287">
        <f>'▲ PPE'!AD138</f>
        <v>363929.97059999965</v>
      </c>
      <c r="D14" s="287">
        <f>'▲ PPE'!AE138</f>
        <v>382126.46913000051</v>
      </c>
      <c r="E14" s="287">
        <f>'▲ PPE'!AF138</f>
        <v>401232.79258649983</v>
      </c>
      <c r="F14" s="288">
        <f>'▲ PPE'!AG138</f>
        <v>252776.65932949499</v>
      </c>
      <c r="G14" s="289"/>
      <c r="H14" s="382" t="s">
        <v>276</v>
      </c>
      <c r="I14" s="71"/>
    </row>
    <row r="15" spans="1:19" s="59" customFormat="1" x14ac:dyDescent="0.25">
      <c r="A15" s="290" t="str">
        <f>"Expansion CapEx t-1 /" &amp; _xlfn.UNICHAR(916) &amp;"ha t"</f>
        <v>Expansion CapEx t-1 /Δha t</v>
      </c>
      <c r="B15" s="294">
        <v>7.2</v>
      </c>
      <c r="C15" s="294">
        <v>7.2</v>
      </c>
      <c r="D15" s="294">
        <v>7.2</v>
      </c>
      <c r="E15" s="294">
        <v>7.2</v>
      </c>
      <c r="F15" s="295">
        <v>7.2</v>
      </c>
      <c r="G15" s="293"/>
      <c r="H15" s="383"/>
      <c r="I15" s="71"/>
    </row>
    <row r="16" spans="1:19" s="59" customFormat="1" x14ac:dyDescent="0.25">
      <c r="A16" s="75"/>
      <c r="F16" s="65"/>
      <c r="G16" s="62"/>
      <c r="H16" s="312"/>
    </row>
    <row r="17" spans="1:10" s="59" customFormat="1" x14ac:dyDescent="0.25">
      <c r="A17" s="286" t="s">
        <v>11</v>
      </c>
      <c r="B17" s="287">
        <f>'▲ PPE'!AC33</f>
        <v>426713.1</v>
      </c>
      <c r="C17" s="287">
        <f>'▲ PPE'!AD33</f>
        <v>445012.97712</v>
      </c>
      <c r="D17" s="287">
        <f>'▲ PPE'!AE33</f>
        <v>464409.99476879998</v>
      </c>
      <c r="E17" s="287">
        <f>'▲ PPE'!AF33</f>
        <v>484948.08117247198</v>
      </c>
      <c r="F17" s="288">
        <f>'▲ PPE'!AG33</f>
        <v>506674.01669641369</v>
      </c>
      <c r="G17" s="289"/>
      <c r="H17" s="382" t="s">
        <v>251</v>
      </c>
    </row>
    <row r="18" spans="1:10" s="59" customFormat="1" x14ac:dyDescent="0.25">
      <c r="A18" s="290" t="s">
        <v>10</v>
      </c>
      <c r="B18" s="291">
        <v>0.06</v>
      </c>
      <c r="C18" s="291">
        <v>0.06</v>
      </c>
      <c r="D18" s="291">
        <v>0.06</v>
      </c>
      <c r="E18" s="291">
        <v>0.06</v>
      </c>
      <c r="F18" s="292">
        <v>0.06</v>
      </c>
      <c r="G18" s="293"/>
      <c r="H18" s="383"/>
      <c r="J18" s="70"/>
    </row>
    <row r="19" spans="1:10" s="59" customFormat="1" x14ac:dyDescent="0.25">
      <c r="A19" s="66"/>
      <c r="B19" s="72"/>
      <c r="C19" s="72"/>
      <c r="D19" s="72"/>
      <c r="E19" s="72"/>
      <c r="F19" s="73"/>
      <c r="G19" s="74"/>
      <c r="H19" s="312"/>
      <c r="J19" s="70"/>
    </row>
    <row r="20" spans="1:10" s="59" customFormat="1" ht="38.25" x14ac:dyDescent="0.25">
      <c r="A20" s="282" t="s">
        <v>9</v>
      </c>
      <c r="B20" s="283">
        <f>CoE!O30</f>
        <v>0.13628945421820943</v>
      </c>
      <c r="C20" s="284">
        <f>CoE!P30</f>
        <v>0.13504277336932236</v>
      </c>
      <c r="D20" s="284">
        <f>CoE!Q30</f>
        <v>0.13374957165824922</v>
      </c>
      <c r="E20" s="284">
        <f>CoE!R30</f>
        <v>0.13230452794033568</v>
      </c>
      <c r="F20" s="285">
        <f>CoE!S30</f>
        <v>0.130903230768073</v>
      </c>
      <c r="G20" s="283"/>
      <c r="H20" s="313" t="s">
        <v>277</v>
      </c>
      <c r="J20" s="70"/>
    </row>
    <row r="21" spans="1:10" s="59" customFormat="1" x14ac:dyDescent="0.25">
      <c r="A21" s="75"/>
      <c r="F21" s="65"/>
      <c r="G21" s="62"/>
      <c r="H21" s="312"/>
    </row>
    <row r="22" spans="1:10" s="59" customFormat="1" x14ac:dyDescent="0.25">
      <c r="A22" s="66" t="s">
        <v>8</v>
      </c>
      <c r="B22" s="76">
        <f>(B6-B8-B11-B14+B17)</f>
        <v>77676.945647140616</v>
      </c>
      <c r="C22" s="76">
        <f>(C6-C8-C11-C14+C17)</f>
        <v>374104.80845803651</v>
      </c>
      <c r="D22" s="76">
        <f>(D6-D8-D11-D14+D17)</f>
        <v>448090.52901632059</v>
      </c>
      <c r="E22" s="76">
        <f>(E6-E8-E11-E14+E17)</f>
        <v>619628.7549483825</v>
      </c>
      <c r="F22" s="77">
        <f>(F6-F8-F11-F14+F17)</f>
        <v>835673.43188632757</v>
      </c>
      <c r="G22" s="78"/>
      <c r="H22" s="312"/>
      <c r="I22" s="79"/>
    </row>
    <row r="23" spans="1:10" s="59" customFormat="1" x14ac:dyDescent="0.25">
      <c r="A23" s="66"/>
      <c r="B23" s="80"/>
      <c r="C23" s="80"/>
      <c r="D23" s="80"/>
      <c r="E23" s="80"/>
      <c r="F23" s="81"/>
      <c r="G23" s="82"/>
      <c r="H23" s="312"/>
    </row>
    <row r="24" spans="1:10" s="59" customFormat="1" ht="16.5" customHeight="1" x14ac:dyDescent="0.25">
      <c r="A24" s="379" t="s">
        <v>278</v>
      </c>
      <c r="B24" s="380"/>
      <c r="C24" s="380"/>
      <c r="D24" s="380"/>
      <c r="E24" s="380"/>
      <c r="F24" s="381"/>
      <c r="G24" s="83"/>
      <c r="H24" s="312"/>
    </row>
    <row r="25" spans="1:10" s="59" customFormat="1" ht="15" x14ac:dyDescent="0.25">
      <c r="A25" s="75"/>
      <c r="F25" s="65"/>
      <c r="G25" s="84"/>
      <c r="H25" s="63"/>
    </row>
    <row r="26" spans="1:10" s="59" customFormat="1" x14ac:dyDescent="0.25">
      <c r="A26" s="75"/>
      <c r="B26" s="85">
        <v>1</v>
      </c>
      <c r="C26" s="85">
        <v>2</v>
      </c>
      <c r="D26" s="85">
        <v>3</v>
      </c>
      <c r="E26" s="85">
        <v>4</v>
      </c>
      <c r="F26" s="86">
        <v>5</v>
      </c>
      <c r="G26" s="87"/>
      <c r="H26" s="63"/>
    </row>
    <row r="27" spans="1:10" s="59" customFormat="1" ht="15" x14ac:dyDescent="0.25">
      <c r="A27" s="75" t="s">
        <v>6</v>
      </c>
      <c r="B27" s="88">
        <f>IF(B22&lt;0,0,B22/(1+B20)^B26)</f>
        <v>68360.174741376934</v>
      </c>
      <c r="C27" s="88">
        <f>IF(C22&lt;0,0,C22/(1+C20)^C26)</f>
        <v>290381.42652325775</v>
      </c>
      <c r="D27" s="88">
        <f>IF(D22&lt;0,0,D22/(1+D20)^D26)</f>
        <v>307478.21886722441</v>
      </c>
      <c r="E27" s="88">
        <f>IF(E22&lt;0,0,E22/(1+E20)^E26)</f>
        <v>376945.52141914167</v>
      </c>
      <c r="F27" s="89">
        <f>IF(F22&lt;0,0,F22/(1+F20)^F26)</f>
        <v>451761.66075239965</v>
      </c>
      <c r="G27" s="84"/>
      <c r="H27" s="63"/>
    </row>
    <row r="28" spans="1:10" s="59" customFormat="1" ht="15" x14ac:dyDescent="0.25">
      <c r="A28" s="75" t="s">
        <v>5</v>
      </c>
      <c r="B28" s="88"/>
      <c r="C28" s="88"/>
      <c r="D28" s="88"/>
      <c r="E28" s="88"/>
      <c r="F28" s="89">
        <f>(F22*(1+B31))/(F20-B31)</f>
        <v>8530387.2660068199</v>
      </c>
      <c r="G28" s="84"/>
      <c r="H28" s="63"/>
    </row>
    <row r="29" spans="1:10" s="59" customFormat="1" ht="15" x14ac:dyDescent="0.25">
      <c r="A29" s="75" t="s">
        <v>4</v>
      </c>
      <c r="B29" s="88"/>
      <c r="C29" s="88"/>
      <c r="D29" s="88"/>
      <c r="E29" s="88"/>
      <c r="F29" s="89">
        <f>F28/(DCF!B20+1)^F26</f>
        <v>4503227.2909147227</v>
      </c>
      <c r="G29" s="84"/>
      <c r="H29" s="63"/>
    </row>
    <row r="30" spans="1:10" s="59" customFormat="1" ht="15" x14ac:dyDescent="0.25">
      <c r="A30" s="75"/>
      <c r="B30" s="88"/>
      <c r="E30" s="88"/>
      <c r="F30" s="89"/>
      <c r="G30" s="84"/>
      <c r="H30" s="63"/>
    </row>
    <row r="31" spans="1:10" s="59" customFormat="1" ht="15" x14ac:dyDescent="0.25">
      <c r="A31" s="90" t="s">
        <v>252</v>
      </c>
      <c r="B31" s="91">
        <v>0.03</v>
      </c>
      <c r="C31" s="92"/>
      <c r="D31" s="91"/>
      <c r="E31" s="88"/>
      <c r="F31" s="89"/>
      <c r="G31" s="84"/>
      <c r="H31" s="63"/>
    </row>
    <row r="32" spans="1:10" s="59" customFormat="1" ht="15" x14ac:dyDescent="0.25">
      <c r="A32" s="75"/>
      <c r="B32" s="88"/>
      <c r="C32" s="92"/>
      <c r="D32" s="91"/>
      <c r="E32" s="88"/>
      <c r="F32" s="89"/>
      <c r="G32" s="84"/>
      <c r="H32" s="63"/>
    </row>
    <row r="33" spans="1:8" s="59" customFormat="1" ht="15" x14ac:dyDescent="0.25">
      <c r="A33" s="75" t="s">
        <v>2</v>
      </c>
      <c r="B33" s="88">
        <f>SUM(B27:F27,F29)</f>
        <v>5998154.2932181228</v>
      </c>
      <c r="E33" s="93"/>
      <c r="F33" s="94"/>
      <c r="G33" s="95"/>
      <c r="H33" s="63"/>
    </row>
    <row r="34" spans="1:8" s="59" customFormat="1" ht="15" x14ac:dyDescent="0.25">
      <c r="A34" s="75" t="s">
        <v>3</v>
      </c>
      <c r="B34" s="88">
        <f>'Balance Sheet'!N4</f>
        <v>2647586</v>
      </c>
      <c r="C34" s="96"/>
      <c r="D34" s="96"/>
      <c r="E34" s="93"/>
      <c r="F34" s="94"/>
      <c r="G34" s="95"/>
      <c r="H34" s="63"/>
    </row>
    <row r="35" spans="1:8" s="59" customFormat="1" ht="15" x14ac:dyDescent="0.25">
      <c r="A35" s="75"/>
      <c r="C35" s="88"/>
      <c r="D35" s="93"/>
      <c r="E35" s="93"/>
      <c r="F35" s="94"/>
      <c r="G35" s="95"/>
      <c r="H35" s="63"/>
    </row>
    <row r="36" spans="1:8" s="59" customFormat="1" ht="15" x14ac:dyDescent="0.25">
      <c r="A36" s="75" t="s">
        <v>1</v>
      </c>
      <c r="B36" s="88">
        <v>498750</v>
      </c>
      <c r="C36" s="93"/>
      <c r="D36" s="93"/>
      <c r="E36" s="93"/>
      <c r="F36" s="94"/>
      <c r="G36" s="95"/>
      <c r="H36" s="63"/>
    </row>
    <row r="37" spans="1:8" s="59" customFormat="1" ht="15" x14ac:dyDescent="0.25">
      <c r="A37" s="75"/>
      <c r="C37" s="93"/>
      <c r="D37" s="93"/>
      <c r="E37" s="93"/>
      <c r="F37" s="94"/>
      <c r="G37" s="95"/>
      <c r="H37" s="63"/>
    </row>
    <row r="38" spans="1:8" s="59" customFormat="1" ht="27" customHeight="1" x14ac:dyDescent="0.25">
      <c r="A38" s="97" t="s">
        <v>0</v>
      </c>
      <c r="B38" s="98">
        <f>SUM(B33:B34)/B36</f>
        <v>17.334817630512529</v>
      </c>
      <c r="C38" s="99"/>
      <c r="D38" s="99"/>
      <c r="E38" s="99"/>
      <c r="F38" s="100"/>
      <c r="G38" s="101"/>
      <c r="H38" s="102"/>
    </row>
    <row r="39" spans="1:8" ht="15" x14ac:dyDescent="0.25">
      <c r="B39" s="103"/>
      <c r="C39" s="104"/>
      <c r="D39" s="104"/>
      <c r="E39" s="104"/>
      <c r="F39" s="104"/>
      <c r="G39" s="104"/>
    </row>
    <row r="40" spans="1:8" ht="15" x14ac:dyDescent="0.25">
      <c r="C40" s="104"/>
      <c r="D40" s="104"/>
      <c r="E40" s="104"/>
      <c r="F40" s="104"/>
      <c r="G40" s="104"/>
    </row>
  </sheetData>
  <mergeCells count="6">
    <mergeCell ref="A24:F24"/>
    <mergeCell ref="H14:H15"/>
    <mergeCell ref="H17:H18"/>
    <mergeCell ref="H11:H12"/>
    <mergeCell ref="A1:F1"/>
    <mergeCell ref="H8:H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3D0E0-B292-47CA-AE8B-3231302B36AF}">
  <sheetPr>
    <tabColor rgb="FF0D5D3F"/>
  </sheetPr>
  <dimension ref="A1:AB102"/>
  <sheetViews>
    <sheetView zoomScaleNormal="100" workbookViewId="0">
      <pane xSplit="1" ySplit="3" topLeftCell="B58" activePane="bottomRight" state="frozen"/>
      <selection pane="topRight" activeCell="B1" sqref="B1"/>
      <selection pane="bottomLeft" activeCell="A4" sqref="A4"/>
      <selection pane="bottomRight" activeCell="I82" sqref="I82"/>
    </sheetView>
  </sheetViews>
  <sheetFormatPr defaultRowHeight="15" x14ac:dyDescent="0.25"/>
  <cols>
    <col min="1" max="1" width="42.5703125" style="118" bestFit="1" customWidth="1"/>
    <col min="2" max="2" width="15.28515625" style="123" bestFit="1" customWidth="1"/>
    <col min="3" max="7" width="13" style="118" bestFit="1" customWidth="1"/>
    <col min="8" max="8" width="11.28515625" style="118" bestFit="1" customWidth="1"/>
    <col min="9" max="10" width="13" style="118" bestFit="1" customWidth="1"/>
    <col min="11" max="11" width="11.42578125" style="118" bestFit="1" customWidth="1"/>
    <col min="12" max="12" width="11.28515625" style="118" bestFit="1" customWidth="1"/>
    <col min="13" max="13" width="11.42578125" style="118" bestFit="1" customWidth="1"/>
    <col min="14" max="14" width="11.28515625" style="118" bestFit="1" customWidth="1"/>
    <col min="15" max="18" width="13.85546875" style="118" bestFit="1" customWidth="1"/>
    <col min="19" max="19" width="14.85546875" style="118" bestFit="1" customWidth="1"/>
    <col min="20" max="23" width="9.140625" style="118"/>
    <col min="24" max="28" width="10" style="118" bestFit="1" customWidth="1"/>
    <col min="29" max="16384" width="9.140625" style="118"/>
  </cols>
  <sheetData>
    <row r="1" spans="1:28" ht="20.25" customHeight="1" x14ac:dyDescent="0.25">
      <c r="A1" s="389" t="s">
        <v>258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1"/>
    </row>
    <row r="2" spans="1:28" x14ac:dyDescent="0.25">
      <c r="A2" s="119" t="s">
        <v>284</v>
      </c>
      <c r="B2" s="120">
        <v>2013</v>
      </c>
      <c r="C2" s="120">
        <f t="shared" ref="C2:S2" si="0">SUM(B2+1)</f>
        <v>2014</v>
      </c>
      <c r="D2" s="120">
        <f t="shared" si="0"/>
        <v>2015</v>
      </c>
      <c r="E2" s="120">
        <f t="shared" si="0"/>
        <v>2016</v>
      </c>
      <c r="F2" s="120">
        <f t="shared" si="0"/>
        <v>2017</v>
      </c>
      <c r="G2" s="120">
        <f t="shared" si="0"/>
        <v>2018</v>
      </c>
      <c r="H2" s="120">
        <f t="shared" si="0"/>
        <v>2019</v>
      </c>
      <c r="I2" s="120">
        <f t="shared" si="0"/>
        <v>2020</v>
      </c>
      <c r="J2" s="120">
        <f t="shared" si="0"/>
        <v>2021</v>
      </c>
      <c r="K2" s="120">
        <f t="shared" si="0"/>
        <v>2022</v>
      </c>
      <c r="L2" s="120">
        <f t="shared" si="0"/>
        <v>2023</v>
      </c>
      <c r="M2" s="120">
        <f t="shared" si="0"/>
        <v>2024</v>
      </c>
      <c r="N2" s="121">
        <f t="shared" si="0"/>
        <v>2025</v>
      </c>
      <c r="O2" s="120">
        <f t="shared" si="0"/>
        <v>2026</v>
      </c>
      <c r="P2" s="120">
        <f t="shared" si="0"/>
        <v>2027</v>
      </c>
      <c r="Q2" s="120">
        <f t="shared" si="0"/>
        <v>2028</v>
      </c>
      <c r="R2" s="120">
        <f t="shared" si="0"/>
        <v>2029</v>
      </c>
      <c r="S2" s="121">
        <f t="shared" si="0"/>
        <v>2030</v>
      </c>
    </row>
    <row r="3" spans="1:28" x14ac:dyDescent="0.25">
      <c r="A3" s="122"/>
      <c r="B3" s="123" t="s">
        <v>256</v>
      </c>
      <c r="C3" s="123" t="s">
        <v>256</v>
      </c>
      <c r="D3" s="123" t="s">
        <v>256</v>
      </c>
      <c r="E3" s="123" t="s">
        <v>256</v>
      </c>
      <c r="F3" s="123" t="s">
        <v>256</v>
      </c>
      <c r="G3" s="123" t="s">
        <v>256</v>
      </c>
      <c r="H3" s="123" t="s">
        <v>256</v>
      </c>
      <c r="I3" s="123" t="s">
        <v>256</v>
      </c>
      <c r="J3" s="123" t="s">
        <v>256</v>
      </c>
      <c r="K3" s="123" t="s">
        <v>256</v>
      </c>
      <c r="L3" s="123" t="s">
        <v>256</v>
      </c>
      <c r="M3" s="123" t="s">
        <v>256</v>
      </c>
      <c r="N3" s="123" t="s">
        <v>256</v>
      </c>
      <c r="O3" s="118" t="s">
        <v>257</v>
      </c>
      <c r="P3" s="118" t="s">
        <v>257</v>
      </c>
      <c r="Q3" s="118" t="s">
        <v>257</v>
      </c>
      <c r="R3" s="118" t="s">
        <v>257</v>
      </c>
      <c r="S3" s="118" t="s">
        <v>257</v>
      </c>
    </row>
    <row r="4" spans="1:28" x14ac:dyDescent="0.25">
      <c r="A4" s="122" t="s">
        <v>64</v>
      </c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1"/>
      <c r="S4" s="124"/>
    </row>
    <row r="5" spans="1:28" x14ac:dyDescent="0.25">
      <c r="A5" s="122" t="s">
        <v>57</v>
      </c>
      <c r="B5" s="125">
        <v>553635</v>
      </c>
      <c r="C5" s="126">
        <v>652524</v>
      </c>
      <c r="D5" s="126">
        <v>812693</v>
      </c>
      <c r="E5" s="126">
        <v>749417</v>
      </c>
      <c r="F5" s="126">
        <v>745772</v>
      </c>
      <c r="G5" s="126">
        <v>1088621</v>
      </c>
      <c r="H5" s="126">
        <v>1212573</v>
      </c>
      <c r="I5" s="126">
        <v>1697671</v>
      </c>
      <c r="J5" s="126">
        <v>2087461</v>
      </c>
      <c r="K5" s="126">
        <v>2930972</v>
      </c>
      <c r="L5" s="126">
        <v>2189209</v>
      </c>
      <c r="M5" s="126">
        <v>3568362</v>
      </c>
      <c r="N5" s="127">
        <v>3344618</v>
      </c>
      <c r="O5" s="126">
        <f>('Income by Crop'!O5*'Income by Crop'!O9)/1000</f>
        <v>3914909.7904648758</v>
      </c>
      <c r="P5" s="126">
        <f>('Income by Crop'!P5*'Income by Crop'!P9)/1000</f>
        <v>4984930.9172324101</v>
      </c>
      <c r="Q5" s="126">
        <f>('Income by Crop'!Q5*'Income by Crop'!Q9)/1000</f>
        <v>5133580.7401767299</v>
      </c>
      <c r="R5" s="126">
        <f>('Income by Crop'!R5*'Income by Crop'!R9)/1000</f>
        <v>5756454.1249889201</v>
      </c>
      <c r="S5" s="127">
        <f>('Income by Crop'!S5*'Income by Crop'!S9)/1000</f>
        <v>5942842.9265741147</v>
      </c>
    </row>
    <row r="6" spans="1:28" x14ac:dyDescent="0.25">
      <c r="A6" s="122" t="s">
        <v>56</v>
      </c>
      <c r="B6" s="125">
        <v>83077</v>
      </c>
      <c r="C6" s="126">
        <v>82043</v>
      </c>
      <c r="D6" s="126">
        <v>85019</v>
      </c>
      <c r="E6" s="126">
        <v>98902</v>
      </c>
      <c r="F6" s="126">
        <v>104375</v>
      </c>
      <c r="G6" s="126">
        <v>80496</v>
      </c>
      <c r="H6" s="126">
        <v>77154</v>
      </c>
      <c r="I6" s="126">
        <v>156269</v>
      </c>
      <c r="J6" s="126">
        <v>348928</v>
      </c>
      <c r="K6" s="126">
        <v>380070</v>
      </c>
      <c r="L6" s="126">
        <v>349283</v>
      </c>
      <c r="M6" s="126">
        <v>320811</v>
      </c>
      <c r="N6" s="127">
        <v>386901</v>
      </c>
      <c r="O6" s="126">
        <f>('Income by Crop'!O18*'Income by Crop'!O20)/1000</f>
        <v>462087.71297290333</v>
      </c>
      <c r="P6" s="126">
        <f>('Income by Crop'!P18*'Income by Crop'!P20)/1000</f>
        <v>588385.28859136638</v>
      </c>
      <c r="Q6" s="126">
        <f>('Income by Crop'!Q18*'Income by Crop'!Q20)/1000</f>
        <v>605930.84146348282</v>
      </c>
      <c r="R6" s="126">
        <f>('Income by Crop'!R18*'Income by Crop'!R20)/1000</f>
        <v>679450.32294951181</v>
      </c>
      <c r="S6" s="127">
        <f>('Income by Crop'!S18*'Income by Crop'!S20)/1000</f>
        <v>701450.31264481344</v>
      </c>
      <c r="X6" s="103"/>
      <c r="Y6" s="103"/>
      <c r="Z6" s="103"/>
      <c r="AA6" s="103"/>
      <c r="AB6" s="103"/>
    </row>
    <row r="7" spans="1:28" x14ac:dyDescent="0.25">
      <c r="A7" s="122" t="s">
        <v>55</v>
      </c>
      <c r="B7" s="125">
        <v>328348</v>
      </c>
      <c r="C7" s="126">
        <v>478022</v>
      </c>
      <c r="D7" s="126">
        <v>634055</v>
      </c>
      <c r="E7" s="126">
        <v>583990</v>
      </c>
      <c r="F7" s="126">
        <v>720879</v>
      </c>
      <c r="G7" s="126">
        <v>875235</v>
      </c>
      <c r="H7" s="126">
        <v>1036218</v>
      </c>
      <c r="I7" s="126">
        <v>1291803</v>
      </c>
      <c r="J7" s="126">
        <v>1673697</v>
      </c>
      <c r="K7" s="126">
        <v>2973363</v>
      </c>
      <c r="L7" s="126">
        <v>3055726</v>
      </c>
      <c r="M7" s="126">
        <v>2092605</v>
      </c>
      <c r="N7" s="127">
        <v>2749065</v>
      </c>
      <c r="O7" s="126">
        <f>('Income by Crop'!O32*'Income by Crop'!O36)/1000</f>
        <v>3551190.7484626453</v>
      </c>
      <c r="P7" s="126">
        <f>('Income by Crop'!P32*'Income by Crop'!P36)/1000</f>
        <v>4372079.8313243827</v>
      </c>
      <c r="Q7" s="126">
        <f>('Income by Crop'!Q32*'Income by Crop'!Q36)/1000</f>
        <v>4783138.7223082278</v>
      </c>
      <c r="R7" s="126">
        <f>('Income by Crop'!R32*'Income by Crop'!R36)/1000</f>
        <v>5349944.9322483772</v>
      </c>
      <c r="S7" s="127">
        <f>('Income by Crop'!S32*'Income by Crop'!S36)/1000</f>
        <v>5645529.3897550981</v>
      </c>
      <c r="X7" s="103"/>
      <c r="Y7" s="103"/>
      <c r="Z7" s="103"/>
      <c r="AA7" s="103"/>
      <c r="AB7" s="103"/>
    </row>
    <row r="8" spans="1:28" x14ac:dyDescent="0.25">
      <c r="A8" s="122" t="s">
        <v>54</v>
      </c>
      <c r="B8" s="125">
        <v>99224</v>
      </c>
      <c r="C8" s="126">
        <v>111950</v>
      </c>
      <c r="D8" s="126">
        <v>121877</v>
      </c>
      <c r="E8" s="126">
        <v>164514</v>
      </c>
      <c r="F8" s="126">
        <v>152733</v>
      </c>
      <c r="G8" s="126">
        <v>146151</v>
      </c>
      <c r="H8" s="126">
        <v>253376</v>
      </c>
      <c r="I8" s="126">
        <v>383504</v>
      </c>
      <c r="J8" s="126">
        <v>518078</v>
      </c>
      <c r="K8" s="126">
        <v>710473</v>
      </c>
      <c r="L8" s="126">
        <v>846036</v>
      </c>
      <c r="M8" s="126">
        <v>523883</v>
      </c>
      <c r="N8" s="127">
        <v>1035234</v>
      </c>
      <c r="O8" s="126">
        <f>('Income by Crop'!O45*'Income by Crop'!O49)/1000</f>
        <v>1125058.1719739374</v>
      </c>
      <c r="P8" s="126">
        <f>('Income by Crop'!P45*'Income by Crop'!P49)/1000</f>
        <v>1368615.5894720415</v>
      </c>
      <c r="Q8" s="126">
        <f>('Income by Crop'!Q45*'Income by Crop'!Q49)/1000</f>
        <v>1559302.2295294686</v>
      </c>
      <c r="R8" s="126">
        <f>('Income by Crop'!R45*'Income by Crop'!R49)/1000</f>
        <v>1729385.1183218041</v>
      </c>
      <c r="S8" s="127">
        <f>('Income by Crop'!S45*'Income by Crop'!S49)/1000</f>
        <v>1824933.6461090839</v>
      </c>
      <c r="X8" s="103"/>
      <c r="Y8" s="103"/>
      <c r="Z8" s="103"/>
      <c r="AA8" s="103"/>
      <c r="AB8" s="103"/>
    </row>
    <row r="9" spans="1:28" x14ac:dyDescent="0.25">
      <c r="A9" s="122" t="s">
        <v>285</v>
      </c>
      <c r="B9" s="125">
        <v>9145</v>
      </c>
      <c r="C9" s="126">
        <v>5334</v>
      </c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7"/>
      <c r="O9" s="126"/>
      <c r="P9" s="126"/>
      <c r="Q9" s="126"/>
      <c r="R9" s="126"/>
      <c r="S9" s="127"/>
      <c r="X9" s="103"/>
      <c r="Y9" s="103"/>
      <c r="Z9" s="103"/>
      <c r="AA9" s="103"/>
      <c r="AB9" s="103"/>
    </row>
    <row r="10" spans="1:28" x14ac:dyDescent="0.25">
      <c r="A10" s="122" t="s">
        <v>53</v>
      </c>
      <c r="B10" s="125"/>
      <c r="C10" s="126">
        <v>2556</v>
      </c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7"/>
      <c r="O10" s="126"/>
      <c r="P10" s="126"/>
      <c r="Q10" s="126"/>
      <c r="R10" s="126"/>
      <c r="S10" s="127"/>
      <c r="X10" s="103"/>
      <c r="Y10" s="103"/>
      <c r="Z10" s="103"/>
      <c r="AA10" s="103"/>
      <c r="AB10" s="103"/>
    </row>
    <row r="11" spans="1:28" x14ac:dyDescent="0.25">
      <c r="A11" s="122" t="s">
        <v>63</v>
      </c>
      <c r="B11" s="112"/>
      <c r="C11" s="126"/>
      <c r="D11" s="126"/>
      <c r="E11" s="126"/>
      <c r="F11" s="126"/>
      <c r="G11" s="126"/>
      <c r="H11" s="126"/>
      <c r="I11" s="126">
        <v>29528</v>
      </c>
      <c r="J11" s="126">
        <v>59377</v>
      </c>
      <c r="K11" s="126">
        <v>110862</v>
      </c>
      <c r="L11" s="126">
        <v>121007</v>
      </c>
      <c r="M11" s="126">
        <v>202280</v>
      </c>
      <c r="N11" s="127">
        <v>383851</v>
      </c>
      <c r="O11" s="126">
        <f>('Income by Crop'!O60*'Income by Crop'!O64)/1000</f>
        <v>307482.62400000001</v>
      </c>
      <c r="P11" s="126">
        <f>('Income by Crop'!P60*'Income by Crop'!P64)/1000</f>
        <v>302573.61109694</v>
      </c>
      <c r="Q11" s="126">
        <f>('Income by Crop'!Q60*'Income by Crop'!Q64)/1000</f>
        <v>317702.29165178695</v>
      </c>
      <c r="R11" s="126">
        <f>('Income by Crop'!R60*'Income by Crop'!R64)/1000</f>
        <v>333587.40623437631</v>
      </c>
      <c r="S11" s="127">
        <f>('Income by Crop'!S60*'Income by Crop'!S64)/1000</f>
        <v>350266.77654609515</v>
      </c>
      <c r="X11" s="103"/>
      <c r="Y11" s="103"/>
      <c r="Z11" s="103"/>
      <c r="AA11" s="103"/>
      <c r="AB11" s="103"/>
    </row>
    <row r="12" spans="1:28" x14ac:dyDescent="0.25">
      <c r="A12" s="122" t="s">
        <v>51</v>
      </c>
      <c r="B12" s="112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7">
        <v>296096</v>
      </c>
      <c r="O12" s="106"/>
      <c r="P12" s="106"/>
      <c r="Q12" s="106"/>
      <c r="R12" s="106"/>
      <c r="S12" s="107"/>
    </row>
    <row r="13" spans="1:28" x14ac:dyDescent="0.25">
      <c r="A13" s="122" t="s">
        <v>50</v>
      </c>
      <c r="B13" s="125">
        <v>15421</v>
      </c>
      <c r="C13" s="126">
        <v>29894</v>
      </c>
      <c r="D13" s="126">
        <v>59480</v>
      </c>
      <c r="E13" s="126">
        <v>26361</v>
      </c>
      <c r="F13" s="126">
        <v>23141</v>
      </c>
      <c r="G13" s="126">
        <v>39483</v>
      </c>
      <c r="H13" s="126">
        <v>72874</v>
      </c>
      <c r="I13" s="126">
        <v>70379</v>
      </c>
      <c r="J13" s="126">
        <v>261620</v>
      </c>
      <c r="K13" s="126">
        <v>272919</v>
      </c>
      <c r="L13" s="126">
        <v>61390</v>
      </c>
      <c r="M13" s="126">
        <v>92968</v>
      </c>
      <c r="N13" s="127">
        <v>129120</v>
      </c>
      <c r="O13" s="106"/>
      <c r="P13" s="106"/>
      <c r="Q13" s="106"/>
      <c r="R13" s="106"/>
      <c r="S13" s="107"/>
    </row>
    <row r="14" spans="1:28" x14ac:dyDescent="0.25">
      <c r="A14" s="122"/>
      <c r="B14" s="112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7"/>
      <c r="O14" s="106"/>
      <c r="P14" s="106"/>
      <c r="Q14" s="106"/>
      <c r="R14" s="106"/>
      <c r="S14" s="107"/>
    </row>
    <row r="15" spans="1:28" x14ac:dyDescent="0.25">
      <c r="A15" s="122" t="s">
        <v>62</v>
      </c>
      <c r="B15" s="125">
        <v>-53622</v>
      </c>
      <c r="C15" s="126">
        <v>-26319</v>
      </c>
      <c r="D15" s="126">
        <f>-231373</f>
        <v>-231373</v>
      </c>
      <c r="E15" s="126">
        <v>-21239</v>
      </c>
      <c r="F15" s="126">
        <v>111154</v>
      </c>
      <c r="G15" s="126">
        <v>-130809</v>
      </c>
      <c r="H15" s="126">
        <f>-116290</f>
        <v>-116290</v>
      </c>
      <c r="I15" s="126">
        <v>-531607</v>
      </c>
      <c r="J15" s="126">
        <f>-585951</f>
        <v>-585951</v>
      </c>
      <c r="K15" s="126">
        <v>-5625</v>
      </c>
      <c r="L15" s="126">
        <v>607932</v>
      </c>
      <c r="M15" s="126">
        <v>114855</v>
      </c>
      <c r="N15" s="127">
        <v>228262</v>
      </c>
      <c r="O15" s="128"/>
      <c r="P15" s="128"/>
      <c r="Q15" s="128"/>
      <c r="R15" s="128"/>
      <c r="S15" s="129"/>
    </row>
    <row r="16" spans="1:28" x14ac:dyDescent="0.25">
      <c r="A16" s="122" t="s">
        <v>61</v>
      </c>
      <c r="B16" s="125">
        <v>146292</v>
      </c>
      <c r="C16" s="126">
        <v>163171</v>
      </c>
      <c r="D16" s="126">
        <v>279830</v>
      </c>
      <c r="E16" s="126">
        <v>57704</v>
      </c>
      <c r="F16" s="126">
        <v>361847</v>
      </c>
      <c r="G16" s="126">
        <v>724291</v>
      </c>
      <c r="H16" s="126">
        <v>504751</v>
      </c>
      <c r="I16" s="126">
        <v>775534</v>
      </c>
      <c r="J16" s="126">
        <v>1961159</v>
      </c>
      <c r="K16" s="126">
        <v>2216676</v>
      </c>
      <c r="L16" s="126">
        <v>1891541</v>
      </c>
      <c r="M16" s="126">
        <v>887863</v>
      </c>
      <c r="N16" s="127">
        <v>1206067</v>
      </c>
      <c r="O16" s="106"/>
      <c r="P16" s="106"/>
      <c r="Q16" s="106"/>
      <c r="R16" s="106"/>
      <c r="S16" s="107"/>
    </row>
    <row r="17" spans="1:19" x14ac:dyDescent="0.25">
      <c r="A17" s="122"/>
      <c r="B17" s="112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7"/>
      <c r="O17" s="106"/>
      <c r="P17" s="106"/>
      <c r="Q17" s="106"/>
      <c r="R17" s="106"/>
      <c r="S17" s="107"/>
    </row>
    <row r="18" spans="1:19" x14ac:dyDescent="0.25">
      <c r="A18" s="119" t="s">
        <v>60</v>
      </c>
      <c r="B18" s="113">
        <f t="shared" ref="B18:N18" si="1">SUM(B5:B15)</f>
        <v>1035228</v>
      </c>
      <c r="C18" s="113">
        <f t="shared" si="1"/>
        <v>1336004</v>
      </c>
      <c r="D18" s="113">
        <f t="shared" si="1"/>
        <v>1481751</v>
      </c>
      <c r="E18" s="113">
        <f t="shared" si="1"/>
        <v>1601945</v>
      </c>
      <c r="F18" s="113">
        <f t="shared" si="1"/>
        <v>1858054</v>
      </c>
      <c r="G18" s="113">
        <f t="shared" si="1"/>
        <v>2099177</v>
      </c>
      <c r="H18" s="113">
        <f t="shared" si="1"/>
        <v>2535905</v>
      </c>
      <c r="I18" s="113">
        <f t="shared" si="1"/>
        <v>3097547</v>
      </c>
      <c r="J18" s="113">
        <f t="shared" si="1"/>
        <v>4363210</v>
      </c>
      <c r="K18" s="113">
        <f t="shared" si="1"/>
        <v>7373034</v>
      </c>
      <c r="L18" s="113">
        <f t="shared" si="1"/>
        <v>7230583</v>
      </c>
      <c r="M18" s="113">
        <f t="shared" si="1"/>
        <v>6915764</v>
      </c>
      <c r="N18" s="114">
        <f t="shared" si="1"/>
        <v>8553147</v>
      </c>
      <c r="O18" s="130">
        <f>SUM(O5:O16)</f>
        <v>9360729.0478743613</v>
      </c>
      <c r="P18" s="130">
        <f>SUM(P5:P16)</f>
        <v>11616585.23771714</v>
      </c>
      <c r="Q18" s="130">
        <f>SUM(Q5:Q16)</f>
        <v>12399654.825129695</v>
      </c>
      <c r="R18" s="130">
        <f>SUM(R5:R16)</f>
        <v>13848821.90474299</v>
      </c>
      <c r="S18" s="131">
        <f>SUM(S5:S16)</f>
        <v>14465023.051629204</v>
      </c>
    </row>
    <row r="19" spans="1:19" x14ac:dyDescent="0.25">
      <c r="A19" s="135" t="s">
        <v>59</v>
      </c>
      <c r="B19" s="136">
        <f t="shared" ref="B19:N19" si="2">SUM(B5:B16)</f>
        <v>1181520</v>
      </c>
      <c r="C19" s="136">
        <f t="shared" si="2"/>
        <v>1499175</v>
      </c>
      <c r="D19" s="136">
        <f t="shared" si="2"/>
        <v>1761581</v>
      </c>
      <c r="E19" s="136">
        <f t="shared" si="2"/>
        <v>1659649</v>
      </c>
      <c r="F19" s="136">
        <f t="shared" si="2"/>
        <v>2219901</v>
      </c>
      <c r="G19" s="136">
        <f t="shared" si="2"/>
        <v>2823468</v>
      </c>
      <c r="H19" s="136">
        <f t="shared" si="2"/>
        <v>3040656</v>
      </c>
      <c r="I19" s="136">
        <f t="shared" si="2"/>
        <v>3873081</v>
      </c>
      <c r="J19" s="136">
        <f t="shared" si="2"/>
        <v>6324369</v>
      </c>
      <c r="K19" s="136">
        <f t="shared" si="2"/>
        <v>9589710</v>
      </c>
      <c r="L19" s="136">
        <f t="shared" si="2"/>
        <v>9122124</v>
      </c>
      <c r="M19" s="136">
        <f t="shared" si="2"/>
        <v>7803627</v>
      </c>
      <c r="N19" s="137">
        <f t="shared" si="2"/>
        <v>9759214</v>
      </c>
      <c r="O19" s="133"/>
      <c r="P19" s="133"/>
      <c r="Q19" s="133"/>
      <c r="R19" s="133"/>
      <c r="S19" s="134"/>
    </row>
    <row r="20" spans="1:19" x14ac:dyDescent="0.25">
      <c r="A20" s="122"/>
      <c r="B20" s="112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7"/>
      <c r="S20" s="124"/>
    </row>
    <row r="21" spans="1:19" x14ac:dyDescent="0.25">
      <c r="A21" s="122" t="s">
        <v>58</v>
      </c>
      <c r="B21" s="112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7"/>
      <c r="S21" s="124"/>
    </row>
    <row r="22" spans="1:19" x14ac:dyDescent="0.25">
      <c r="A22" s="122" t="s">
        <v>57</v>
      </c>
      <c r="B22" s="125">
        <v>379091</v>
      </c>
      <c r="C22" s="126">
        <v>424043</v>
      </c>
      <c r="D22" s="126">
        <f>501326</f>
        <v>501326</v>
      </c>
      <c r="E22" s="126">
        <v>629116</v>
      </c>
      <c r="F22" s="126">
        <f>481841</f>
        <v>481841</v>
      </c>
      <c r="G22" s="126">
        <v>567966</v>
      </c>
      <c r="H22" s="126">
        <f>762874</f>
        <v>762874</v>
      </c>
      <c r="I22" s="126">
        <v>945782</v>
      </c>
      <c r="J22" s="126">
        <f>1082365</f>
        <v>1082365</v>
      </c>
      <c r="K22" s="126">
        <v>1831639</v>
      </c>
      <c r="L22" s="126">
        <f>1636704</f>
        <v>1636704</v>
      </c>
      <c r="M22" s="126">
        <v>2204939</v>
      </c>
      <c r="N22" s="127">
        <v>2343345</v>
      </c>
      <c r="O22" s="126">
        <f>('Income by Crop'!O5*'Income by Crop'!O11*-1)/1000</f>
        <v>2583840.4617068181</v>
      </c>
      <c r="P22" s="126">
        <f>('Income by Crop'!P5*'Income by Crop'!P11*-1)/1000</f>
        <v>3290054.4053733908</v>
      </c>
      <c r="Q22" s="126">
        <f>('Income by Crop'!Q5*'Income by Crop'!Q11*-1)/1000</f>
        <v>3388163.2885166421</v>
      </c>
      <c r="R22" s="126">
        <f>('Income by Crop'!R5*'Income by Crop'!R11*-1)/1000</f>
        <v>3799259.7224926869</v>
      </c>
      <c r="S22" s="127">
        <f>('Income by Crop'!S5*'Income by Crop'!S11*-1)/1000</f>
        <v>3922276.3315389156</v>
      </c>
    </row>
    <row r="23" spans="1:19" x14ac:dyDescent="0.25">
      <c r="A23" s="122" t="s">
        <v>56</v>
      </c>
      <c r="B23" s="125">
        <v>58920</v>
      </c>
      <c r="C23" s="126">
        <v>61891</v>
      </c>
      <c r="D23" s="126">
        <f>64080</f>
        <v>64080</v>
      </c>
      <c r="E23" s="126">
        <v>97913</v>
      </c>
      <c r="F23" s="126">
        <f>75483</f>
        <v>75483</v>
      </c>
      <c r="G23" s="126">
        <v>52980</v>
      </c>
      <c r="H23" s="126">
        <f>61257</f>
        <v>61257</v>
      </c>
      <c r="I23" s="126">
        <v>98128</v>
      </c>
      <c r="J23" s="126">
        <f>133245</f>
        <v>133245</v>
      </c>
      <c r="K23" s="126">
        <v>140849</v>
      </c>
      <c r="L23" s="126">
        <f>205003</f>
        <v>205003</v>
      </c>
      <c r="M23" s="126">
        <v>227896</v>
      </c>
      <c r="N23" s="127">
        <v>229100</v>
      </c>
      <c r="O23" s="126">
        <f>('Income by Crop'!O18*'Income by Crop'!O22*-1)/1000</f>
        <v>328183.89964052255</v>
      </c>
      <c r="P23" s="126">
        <f>('Income by Crop'!P18*'Income by Crop'!P22*-1)/1000</f>
        <v>417882.95399309212</v>
      </c>
      <c r="Q23" s="126">
        <f>('Income by Crop'!Q18*'Income by Crop'!Q22*-1)/1000</f>
        <v>430344.15519204672</v>
      </c>
      <c r="R23" s="126">
        <f>('Income by Crop'!R18*'Income by Crop'!R22*-1)/1000</f>
        <v>482559.15562649671</v>
      </c>
      <c r="S23" s="127">
        <f>('Income by Crop'!S18*'Income by Crop'!S22*-1)/1000</f>
        <v>498183.98660026205</v>
      </c>
    </row>
    <row r="24" spans="1:19" x14ac:dyDescent="0.25">
      <c r="A24" s="122" t="s">
        <v>55</v>
      </c>
      <c r="B24" s="125">
        <v>259742</v>
      </c>
      <c r="C24" s="126">
        <v>366835</v>
      </c>
      <c r="D24" s="126">
        <f>419781</f>
        <v>419781</v>
      </c>
      <c r="E24" s="126">
        <v>463229</v>
      </c>
      <c r="F24" s="126">
        <f>506506</f>
        <v>506506</v>
      </c>
      <c r="G24" s="126">
        <v>567844</v>
      </c>
      <c r="H24" s="126">
        <f>644331</f>
        <v>644331</v>
      </c>
      <c r="I24" s="126">
        <v>697641</v>
      </c>
      <c r="J24" s="126">
        <f>793574</f>
        <v>793574</v>
      </c>
      <c r="K24" s="126">
        <v>1449659</v>
      </c>
      <c r="L24" s="126">
        <f>1634559</f>
        <v>1634559</v>
      </c>
      <c r="M24" s="126">
        <v>1599801</v>
      </c>
      <c r="N24" s="127">
        <v>1772371</v>
      </c>
      <c r="O24" s="126">
        <f>('Income by Crop'!O32*'Income by Crop'!O38*-1)/1000</f>
        <v>2414809.7089545988</v>
      </c>
      <c r="P24" s="126">
        <f>('Income by Crop'!P32*'Income by Crop'!P38*-1)/1000</f>
        <v>2973014.2853005803</v>
      </c>
      <c r="Q24" s="126">
        <f>('Income by Crop'!Q32*'Income by Crop'!Q38*-1)/1000</f>
        <v>3252534.3311695945</v>
      </c>
      <c r="R24" s="126">
        <f>('Income by Crop'!R32*'Income by Crop'!R38*-1)/1000</f>
        <v>3637962.5539288959</v>
      </c>
      <c r="S24" s="127">
        <f>('Income by Crop'!S32*'Income by Crop'!S38*-1)/1000</f>
        <v>3838959.9850334669</v>
      </c>
    </row>
    <row r="25" spans="1:19" x14ac:dyDescent="0.25">
      <c r="A25" s="122" t="s">
        <v>54</v>
      </c>
      <c r="B25" s="125">
        <v>90679</v>
      </c>
      <c r="C25" s="126">
        <v>90674</v>
      </c>
      <c r="D25" s="126">
        <f>81088</f>
        <v>81088</v>
      </c>
      <c r="E25" s="126">
        <v>106401</v>
      </c>
      <c r="F25" s="126">
        <f>128920</f>
        <v>128920</v>
      </c>
      <c r="G25" s="126">
        <v>133109</v>
      </c>
      <c r="H25" s="126">
        <f>198182</f>
        <v>198182</v>
      </c>
      <c r="I25" s="126">
        <v>230112</v>
      </c>
      <c r="J25" s="126">
        <f>420625</f>
        <v>420625</v>
      </c>
      <c r="K25" s="126">
        <v>542399</v>
      </c>
      <c r="L25" s="126">
        <f>693868</f>
        <v>693868</v>
      </c>
      <c r="M25" s="126">
        <v>424994</v>
      </c>
      <c r="N25" s="127">
        <v>678447</v>
      </c>
      <c r="O25" s="126">
        <f>('Income by Crop'!O45*'Income by Crop'!O51*-1)/1000</f>
        <v>765039.55694227736</v>
      </c>
      <c r="P25" s="126">
        <f>('Income by Crop'!P45*'Income by Crop'!P51*-1)/1000</f>
        <v>930658.60084098799</v>
      </c>
      <c r="Q25" s="126">
        <f>('Income by Crop'!Q45*'Income by Crop'!Q51*-1)/1000</f>
        <v>1060325.5160800386</v>
      </c>
      <c r="R25" s="126">
        <f>('Income by Crop'!R45*'Income by Crop'!R51*-1)/1000</f>
        <v>1175981.8804588264</v>
      </c>
      <c r="S25" s="127">
        <f>('Income by Crop'!S45*'Income by Crop'!S51*-1)/1000</f>
        <v>1240954.8793541768</v>
      </c>
    </row>
    <row r="26" spans="1:19" x14ac:dyDescent="0.25">
      <c r="A26" s="122" t="s">
        <v>285</v>
      </c>
      <c r="B26" s="125">
        <v>3392</v>
      </c>
      <c r="C26" s="126">
        <v>6032</v>
      </c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7"/>
      <c r="O26" s="126"/>
      <c r="P26" s="126"/>
      <c r="Q26" s="126"/>
      <c r="R26" s="126"/>
      <c r="S26" s="127"/>
    </row>
    <row r="27" spans="1:19" x14ac:dyDescent="0.25">
      <c r="A27" s="122" t="s">
        <v>53</v>
      </c>
      <c r="B27" s="125"/>
      <c r="C27" s="126">
        <v>927</v>
      </c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7"/>
      <c r="O27" s="126"/>
      <c r="P27" s="126"/>
      <c r="Q27" s="126"/>
      <c r="R27" s="126"/>
      <c r="S27" s="127"/>
    </row>
    <row r="28" spans="1:19" x14ac:dyDescent="0.25">
      <c r="A28" s="122" t="s">
        <v>52</v>
      </c>
      <c r="B28" s="112"/>
      <c r="C28" s="126"/>
      <c r="D28" s="126"/>
      <c r="E28" s="126"/>
      <c r="F28" s="126"/>
      <c r="G28" s="126"/>
      <c r="H28" s="126"/>
      <c r="I28" s="126">
        <v>25027</v>
      </c>
      <c r="J28" s="126">
        <f>53800</f>
        <v>53800</v>
      </c>
      <c r="K28" s="126">
        <v>119413</v>
      </c>
      <c r="L28" s="126">
        <f>143966</f>
        <v>143966</v>
      </c>
      <c r="M28" s="126">
        <v>184773</v>
      </c>
      <c r="N28" s="127">
        <v>343489</v>
      </c>
      <c r="O28" s="126">
        <f>('Income by Crop'!O60*'Income by Crop'!O66*-1)/1000</f>
        <v>270798.90600000002</v>
      </c>
      <c r="P28" s="126">
        <f>('Income by Crop'!P60*'Income by Crop'!P66*-1)/1000</f>
        <v>266475.55495532916</v>
      </c>
      <c r="Q28" s="126">
        <f>('Income by Crop'!Q60*'Income by Crop'!Q66*-1)/1000</f>
        <v>279799.33270309557</v>
      </c>
      <c r="R28" s="126">
        <f>('Income by Crop'!R60*'Income by Crop'!R66*-1)/1000</f>
        <v>293789.29933825042</v>
      </c>
      <c r="S28" s="127">
        <f>('Income by Crop'!S60*'Income by Crop'!S66*-1)/1000</f>
        <v>308478.76430516288</v>
      </c>
    </row>
    <row r="29" spans="1:19" x14ac:dyDescent="0.25">
      <c r="A29" s="122" t="s">
        <v>51</v>
      </c>
      <c r="B29" s="112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7">
        <v>84832</v>
      </c>
      <c r="O29" s="126"/>
      <c r="P29" s="126"/>
      <c r="Q29" s="126"/>
      <c r="R29" s="126"/>
      <c r="S29" s="127"/>
    </row>
    <row r="30" spans="1:19" x14ac:dyDescent="0.25">
      <c r="A30" s="122" t="s">
        <v>50</v>
      </c>
      <c r="B30" s="125">
        <v>14384</v>
      </c>
      <c r="C30" s="126">
        <v>23088</v>
      </c>
      <c r="D30" s="126">
        <f>34915</f>
        <v>34915</v>
      </c>
      <c r="E30" s="126">
        <v>31589</v>
      </c>
      <c r="F30" s="126">
        <f>22555</f>
        <v>22555</v>
      </c>
      <c r="G30" s="126">
        <v>36335</v>
      </c>
      <c r="H30" s="126">
        <f>66562</f>
        <v>66562</v>
      </c>
      <c r="I30" s="126">
        <v>55096</v>
      </c>
      <c r="J30" s="126">
        <f>167682</f>
        <v>167682</v>
      </c>
      <c r="K30" s="126">
        <v>136771</v>
      </c>
      <c r="L30" s="126">
        <f>100671</f>
        <v>100671</v>
      </c>
      <c r="M30" s="126">
        <v>127279</v>
      </c>
      <c r="N30" s="127">
        <v>161490</v>
      </c>
      <c r="O30" s="126"/>
      <c r="P30" s="126"/>
      <c r="Q30" s="126"/>
      <c r="R30" s="126"/>
      <c r="S30" s="127"/>
    </row>
    <row r="31" spans="1:19" x14ac:dyDescent="0.25">
      <c r="A31" s="122"/>
      <c r="B31" s="112"/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7"/>
      <c r="O31" s="126"/>
      <c r="P31" s="126"/>
      <c r="Q31" s="126"/>
      <c r="R31" s="126"/>
      <c r="S31" s="127"/>
    </row>
    <row r="32" spans="1:19" x14ac:dyDescent="0.25">
      <c r="A32" s="122" t="s">
        <v>49</v>
      </c>
      <c r="B32" s="125">
        <v>114026</v>
      </c>
      <c r="C32" s="126">
        <v>192600</v>
      </c>
      <c r="D32" s="126">
        <f>227270</f>
        <v>227270</v>
      </c>
      <c r="E32" s="126">
        <v>84933</v>
      </c>
      <c r="F32" s="126">
        <f>327300</f>
        <v>327300</v>
      </c>
      <c r="G32" s="126">
        <v>619276</v>
      </c>
      <c r="H32" s="126">
        <f>524266</f>
        <v>524266</v>
      </c>
      <c r="I32" s="126">
        <v>750996</v>
      </c>
      <c r="J32" s="126">
        <f>1425434</f>
        <v>1425434</v>
      </c>
      <c r="K32" s="126">
        <v>2237681</v>
      </c>
      <c r="L32" s="126">
        <f>2086659</f>
        <v>2086659</v>
      </c>
      <c r="M32" s="126">
        <v>726219</v>
      </c>
      <c r="N32" s="127">
        <v>1217211</v>
      </c>
      <c r="O32" s="126"/>
      <c r="P32" s="126"/>
      <c r="Q32" s="126"/>
      <c r="R32" s="126"/>
      <c r="S32" s="127"/>
    </row>
    <row r="33" spans="1:19" x14ac:dyDescent="0.25">
      <c r="A33" s="122"/>
      <c r="B33" s="112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7"/>
      <c r="O33" s="126"/>
      <c r="P33" s="126"/>
      <c r="Q33" s="126"/>
      <c r="R33" s="126"/>
      <c r="S33" s="127"/>
    </row>
    <row r="34" spans="1:19" x14ac:dyDescent="0.25">
      <c r="A34" s="119" t="s">
        <v>48</v>
      </c>
      <c r="B34" s="113">
        <f t="shared" ref="B34:S34" si="3">SUM(B22:B30)</f>
        <v>806208</v>
      </c>
      <c r="C34" s="113">
        <f t="shared" si="3"/>
        <v>973490</v>
      </c>
      <c r="D34" s="113">
        <f t="shared" si="3"/>
        <v>1101190</v>
      </c>
      <c r="E34" s="113">
        <f t="shared" si="3"/>
        <v>1328248</v>
      </c>
      <c r="F34" s="113">
        <f t="shared" si="3"/>
        <v>1215305</v>
      </c>
      <c r="G34" s="113">
        <f t="shared" si="3"/>
        <v>1358234</v>
      </c>
      <c r="H34" s="113">
        <f t="shared" si="3"/>
        <v>1733206</v>
      </c>
      <c r="I34" s="113">
        <f t="shared" si="3"/>
        <v>2051786</v>
      </c>
      <c r="J34" s="113">
        <f t="shared" si="3"/>
        <v>2651291</v>
      </c>
      <c r="K34" s="113">
        <f t="shared" si="3"/>
        <v>4220730</v>
      </c>
      <c r="L34" s="113">
        <f t="shared" si="3"/>
        <v>4414771</v>
      </c>
      <c r="M34" s="113">
        <f t="shared" si="3"/>
        <v>4769682</v>
      </c>
      <c r="N34" s="114">
        <f t="shared" si="3"/>
        <v>5613074</v>
      </c>
      <c r="O34" s="130">
        <f t="shared" si="3"/>
        <v>6362672.5332442168</v>
      </c>
      <c r="P34" s="130">
        <f t="shared" si="3"/>
        <v>7878085.8004633794</v>
      </c>
      <c r="Q34" s="130">
        <f t="shared" si="3"/>
        <v>8411166.6236614175</v>
      </c>
      <c r="R34" s="130">
        <f t="shared" si="3"/>
        <v>9389552.611845158</v>
      </c>
      <c r="S34" s="131">
        <f t="shared" si="3"/>
        <v>9808853.9468319844</v>
      </c>
    </row>
    <row r="35" spans="1:19" x14ac:dyDescent="0.25">
      <c r="A35" s="135" t="s">
        <v>47</v>
      </c>
      <c r="B35" s="136">
        <f t="shared" ref="B35:N35" si="4">SUM(B22:B32)</f>
        <v>920234</v>
      </c>
      <c r="C35" s="136">
        <f t="shared" si="4"/>
        <v>1166090</v>
      </c>
      <c r="D35" s="136">
        <f t="shared" si="4"/>
        <v>1328460</v>
      </c>
      <c r="E35" s="136">
        <f t="shared" si="4"/>
        <v>1413181</v>
      </c>
      <c r="F35" s="136">
        <f t="shared" si="4"/>
        <v>1542605</v>
      </c>
      <c r="G35" s="136">
        <f t="shared" si="4"/>
        <v>1977510</v>
      </c>
      <c r="H35" s="136">
        <f t="shared" si="4"/>
        <v>2257472</v>
      </c>
      <c r="I35" s="136">
        <f t="shared" si="4"/>
        <v>2802782</v>
      </c>
      <c r="J35" s="136">
        <f t="shared" si="4"/>
        <v>4076725</v>
      </c>
      <c r="K35" s="136">
        <f t="shared" si="4"/>
        <v>6458411</v>
      </c>
      <c r="L35" s="136">
        <f t="shared" si="4"/>
        <v>6501430</v>
      </c>
      <c r="M35" s="136">
        <f t="shared" si="4"/>
        <v>5495901</v>
      </c>
      <c r="N35" s="137">
        <f t="shared" si="4"/>
        <v>6830285</v>
      </c>
      <c r="O35" s="138"/>
      <c r="P35" s="139"/>
      <c r="Q35" s="138"/>
      <c r="R35" s="139"/>
      <c r="S35" s="140"/>
    </row>
    <row r="36" spans="1:19" x14ac:dyDescent="0.25">
      <c r="A36" s="122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1"/>
      <c r="P36" s="115"/>
      <c r="Q36" s="141"/>
      <c r="R36" s="141"/>
      <c r="S36" s="116"/>
    </row>
    <row r="37" spans="1:19" x14ac:dyDescent="0.25">
      <c r="A37" s="135" t="s">
        <v>46</v>
      </c>
      <c r="B37" s="136">
        <f t="shared" ref="B37:N37" si="5">(B19-B35)</f>
        <v>261286</v>
      </c>
      <c r="C37" s="136">
        <f t="shared" si="5"/>
        <v>333085</v>
      </c>
      <c r="D37" s="136">
        <f t="shared" si="5"/>
        <v>433121</v>
      </c>
      <c r="E37" s="136">
        <f t="shared" si="5"/>
        <v>246468</v>
      </c>
      <c r="F37" s="136">
        <f t="shared" si="5"/>
        <v>677296</v>
      </c>
      <c r="G37" s="136">
        <f t="shared" si="5"/>
        <v>845958</v>
      </c>
      <c r="H37" s="136">
        <f t="shared" si="5"/>
        <v>783184</v>
      </c>
      <c r="I37" s="136">
        <f t="shared" si="5"/>
        <v>1070299</v>
      </c>
      <c r="J37" s="136">
        <f t="shared" si="5"/>
        <v>2247644</v>
      </c>
      <c r="K37" s="136">
        <f t="shared" si="5"/>
        <v>3131299</v>
      </c>
      <c r="L37" s="136">
        <f t="shared" si="5"/>
        <v>2620694</v>
      </c>
      <c r="M37" s="136">
        <f t="shared" si="5"/>
        <v>2307726</v>
      </c>
      <c r="N37" s="137">
        <f t="shared" si="5"/>
        <v>2928929</v>
      </c>
      <c r="O37" s="139"/>
      <c r="P37" s="139"/>
      <c r="Q37" s="139"/>
      <c r="R37" s="139"/>
      <c r="S37" s="140"/>
    </row>
    <row r="38" spans="1:19" x14ac:dyDescent="0.25">
      <c r="A38" s="119" t="s">
        <v>45</v>
      </c>
      <c r="B38" s="130">
        <f t="shared" ref="B38:S38" si="6">B18-B34</f>
        <v>229020</v>
      </c>
      <c r="C38" s="130">
        <f t="shared" si="6"/>
        <v>362514</v>
      </c>
      <c r="D38" s="130">
        <f t="shared" si="6"/>
        <v>380561</v>
      </c>
      <c r="E38" s="130">
        <f t="shared" si="6"/>
        <v>273697</v>
      </c>
      <c r="F38" s="130">
        <f t="shared" si="6"/>
        <v>642749</v>
      </c>
      <c r="G38" s="130">
        <f t="shared" si="6"/>
        <v>740943</v>
      </c>
      <c r="H38" s="130">
        <f t="shared" si="6"/>
        <v>802699</v>
      </c>
      <c r="I38" s="130">
        <f t="shared" si="6"/>
        <v>1045761</v>
      </c>
      <c r="J38" s="130">
        <f t="shared" si="6"/>
        <v>1711919</v>
      </c>
      <c r="K38" s="130">
        <f t="shared" si="6"/>
        <v>3152304</v>
      </c>
      <c r="L38" s="130">
        <f t="shared" si="6"/>
        <v>2815812</v>
      </c>
      <c r="M38" s="130">
        <f t="shared" si="6"/>
        <v>2146082</v>
      </c>
      <c r="N38" s="131">
        <f t="shared" si="6"/>
        <v>2940073</v>
      </c>
      <c r="O38" s="130">
        <f t="shared" si="6"/>
        <v>2998056.5146301445</v>
      </c>
      <c r="P38" s="130">
        <f t="shared" si="6"/>
        <v>3738499.4372537611</v>
      </c>
      <c r="Q38" s="130">
        <f t="shared" si="6"/>
        <v>3988488.2014682777</v>
      </c>
      <c r="R38" s="130">
        <f t="shared" si="6"/>
        <v>4459269.2928978316</v>
      </c>
      <c r="S38" s="131">
        <f t="shared" si="6"/>
        <v>4656169.1047972199</v>
      </c>
    </row>
    <row r="39" spans="1:19" x14ac:dyDescent="0.25">
      <c r="A39" s="122"/>
      <c r="B39" s="112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7"/>
      <c r="S39" s="124"/>
    </row>
    <row r="40" spans="1:19" x14ac:dyDescent="0.25">
      <c r="A40" s="122" t="s">
        <v>44</v>
      </c>
      <c r="B40" s="125">
        <v>-63991</v>
      </c>
      <c r="C40" s="126">
        <v>-85335</v>
      </c>
      <c r="D40" s="126">
        <v>-92070</v>
      </c>
      <c r="E40" s="126">
        <v>-97589</v>
      </c>
      <c r="F40" s="126">
        <v>-90206</v>
      </c>
      <c r="G40" s="126">
        <v>-118674</v>
      </c>
      <c r="H40" s="126">
        <v>-152972</v>
      </c>
      <c r="I40" s="126">
        <v>-173964</v>
      </c>
      <c r="J40" s="126">
        <v>-212559</v>
      </c>
      <c r="K40" s="126">
        <v>-379664</v>
      </c>
      <c r="L40" s="126">
        <v>-388859</v>
      </c>
      <c r="M40" s="126">
        <v>-495108</v>
      </c>
      <c r="N40" s="127">
        <v>-632312</v>
      </c>
      <c r="S40" s="124"/>
    </row>
    <row r="41" spans="1:19" x14ac:dyDescent="0.25">
      <c r="A41" s="122" t="s">
        <v>43</v>
      </c>
      <c r="B41" s="125">
        <v>-39272</v>
      </c>
      <c r="C41" s="126">
        <v>-37078</v>
      </c>
      <c r="D41" s="126">
        <v>-39769</v>
      </c>
      <c r="E41" s="126">
        <v>-42894</v>
      </c>
      <c r="F41" s="126">
        <v>-44832</v>
      </c>
      <c r="G41" s="126">
        <v>-51573</v>
      </c>
      <c r="H41" s="126">
        <v>-63236</v>
      </c>
      <c r="I41" s="126">
        <v>-70058</v>
      </c>
      <c r="J41" s="126">
        <v>-124286</v>
      </c>
      <c r="K41" s="126">
        <v>-175815</v>
      </c>
      <c r="L41" s="126">
        <v>-195892</v>
      </c>
      <c r="M41" s="126">
        <v>-209059</v>
      </c>
      <c r="N41" s="127">
        <v>-255715</v>
      </c>
      <c r="O41" s="141"/>
      <c r="S41" s="124"/>
    </row>
    <row r="42" spans="1:19" x14ac:dyDescent="0.25">
      <c r="A42" s="122" t="s">
        <v>42</v>
      </c>
      <c r="B42" s="125">
        <v>-8457</v>
      </c>
      <c r="C42" s="126">
        <v>-16658</v>
      </c>
      <c r="D42" s="126">
        <v>-18668</v>
      </c>
      <c r="E42" s="126">
        <v>-16193</v>
      </c>
      <c r="F42" s="126">
        <v>-41204</v>
      </c>
      <c r="G42" s="126">
        <v>-49941</v>
      </c>
      <c r="H42" s="126">
        <v>-39915</v>
      </c>
      <c r="I42" s="126">
        <v>-60110</v>
      </c>
      <c r="J42" s="126">
        <v>-117163</v>
      </c>
      <c r="K42" s="126">
        <v>-108789</v>
      </c>
      <c r="L42" s="126">
        <v>-112868</v>
      </c>
      <c r="M42" s="126">
        <v>-82179</v>
      </c>
      <c r="N42" s="127">
        <v>-85638</v>
      </c>
      <c r="S42" s="124"/>
    </row>
    <row r="43" spans="1:19" x14ac:dyDescent="0.25">
      <c r="A43" s="122" t="s">
        <v>41</v>
      </c>
      <c r="B43" s="125">
        <v>913</v>
      </c>
      <c r="C43" s="126">
        <v>-3217</v>
      </c>
      <c r="D43" s="126">
        <v>2884</v>
      </c>
      <c r="E43" s="126">
        <v>20523</v>
      </c>
      <c r="F43" s="126">
        <v>92399</v>
      </c>
      <c r="G43" s="126">
        <v>31987</v>
      </c>
      <c r="H43" s="126">
        <v>31651</v>
      </c>
      <c r="I43" s="126">
        <v>14763</v>
      </c>
      <c r="J43" s="126">
        <v>134563</v>
      </c>
      <c r="K43" s="126">
        <v>64123</v>
      </c>
      <c r="L43" s="126">
        <v>12106</v>
      </c>
      <c r="M43" s="126">
        <v>-8228</v>
      </c>
      <c r="N43" s="127">
        <v>-142703</v>
      </c>
      <c r="S43" s="124"/>
    </row>
    <row r="44" spans="1:19" x14ac:dyDescent="0.25">
      <c r="A44" s="122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7"/>
      <c r="S44" s="124"/>
    </row>
    <row r="45" spans="1:19" x14ac:dyDescent="0.25">
      <c r="A45" s="135" t="s">
        <v>40</v>
      </c>
      <c r="B45" s="136">
        <f t="shared" ref="B45:N45" si="7">SUM(B40:B43)</f>
        <v>-110807</v>
      </c>
      <c r="C45" s="136">
        <f t="shared" si="7"/>
        <v>-142288</v>
      </c>
      <c r="D45" s="136">
        <f t="shared" si="7"/>
        <v>-147623</v>
      </c>
      <c r="E45" s="136">
        <f t="shared" si="7"/>
        <v>-136153</v>
      </c>
      <c r="F45" s="136">
        <f t="shared" si="7"/>
        <v>-83843</v>
      </c>
      <c r="G45" s="136">
        <f t="shared" si="7"/>
        <v>-188201</v>
      </c>
      <c r="H45" s="136">
        <f t="shared" si="7"/>
        <v>-224472</v>
      </c>
      <c r="I45" s="136">
        <f t="shared" si="7"/>
        <v>-289369</v>
      </c>
      <c r="J45" s="136">
        <f t="shared" si="7"/>
        <v>-319445</v>
      </c>
      <c r="K45" s="136">
        <f t="shared" si="7"/>
        <v>-600145</v>
      </c>
      <c r="L45" s="136">
        <f t="shared" si="7"/>
        <v>-685513</v>
      </c>
      <c r="M45" s="136">
        <f t="shared" si="7"/>
        <v>-794574</v>
      </c>
      <c r="N45" s="137">
        <f t="shared" si="7"/>
        <v>-1116368</v>
      </c>
      <c r="O45" s="142">
        <f>O18*O46</f>
        <v>-1029680.1952661797</v>
      </c>
      <c r="P45" s="142">
        <f>P18*P46</f>
        <v>-1277824.3761488853</v>
      </c>
      <c r="Q45" s="142">
        <f>Q18*Q46</f>
        <v>-1363962.0307642664</v>
      </c>
      <c r="R45" s="142">
        <f>R18*R46</f>
        <v>-1523370.409521729</v>
      </c>
      <c r="S45" s="143">
        <f>S18*S46</f>
        <v>-1591152.5356792125</v>
      </c>
    </row>
    <row r="46" spans="1:19" x14ac:dyDescent="0.25">
      <c r="A46" s="122" t="s">
        <v>39</v>
      </c>
      <c r="B46" s="110">
        <f t="shared" ref="B46:N46" si="8">B45/B18</f>
        <v>-0.1070363243652606</v>
      </c>
      <c r="C46" s="110">
        <f t="shared" si="8"/>
        <v>-0.10650267514169119</v>
      </c>
      <c r="D46" s="110">
        <f t="shared" si="8"/>
        <v>-9.9627400285203116E-2</v>
      </c>
      <c r="E46" s="110">
        <f t="shared" si="8"/>
        <v>-8.4992306227741898E-2</v>
      </c>
      <c r="F46" s="110">
        <f t="shared" si="8"/>
        <v>-4.5124092195382909E-2</v>
      </c>
      <c r="G46" s="110">
        <f t="shared" si="8"/>
        <v>-8.9654659897664662E-2</v>
      </c>
      <c r="H46" s="110">
        <f t="shared" si="8"/>
        <v>-8.8517511499839302E-2</v>
      </c>
      <c r="I46" s="110">
        <f t="shared" si="8"/>
        <v>-9.3418760070468662E-2</v>
      </c>
      <c r="J46" s="110">
        <f t="shared" si="8"/>
        <v>-7.3213299382793862E-2</v>
      </c>
      <c r="K46" s="110">
        <f t="shared" si="8"/>
        <v>-8.1397291806873537E-2</v>
      </c>
      <c r="L46" s="110">
        <f t="shared" si="8"/>
        <v>-9.480743115734927E-2</v>
      </c>
      <c r="M46" s="110">
        <f t="shared" si="8"/>
        <v>-0.11489316292458794</v>
      </c>
      <c r="N46" s="111">
        <f t="shared" si="8"/>
        <v>-0.13052131572157008</v>
      </c>
      <c r="O46" s="144">
        <v>-0.11</v>
      </c>
      <c r="P46" s="144">
        <v>-0.11</v>
      </c>
      <c r="Q46" s="144">
        <v>-0.11</v>
      </c>
      <c r="R46" s="144">
        <v>-0.11</v>
      </c>
      <c r="S46" s="145">
        <v>-0.11</v>
      </c>
    </row>
    <row r="47" spans="1:19" x14ac:dyDescent="0.25">
      <c r="A47" s="146"/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7"/>
      <c r="O47" s="141"/>
      <c r="P47" s="141"/>
      <c r="Q47" s="141"/>
      <c r="R47" s="141"/>
      <c r="S47" s="147"/>
    </row>
    <row r="48" spans="1:19" x14ac:dyDescent="0.25">
      <c r="A48" s="135" t="s">
        <v>38</v>
      </c>
      <c r="B48" s="136">
        <f t="shared" ref="B48:N48" si="9">B37+B45</f>
        <v>150479</v>
      </c>
      <c r="C48" s="136">
        <f t="shared" si="9"/>
        <v>190797</v>
      </c>
      <c r="D48" s="136">
        <f t="shared" si="9"/>
        <v>285498</v>
      </c>
      <c r="E48" s="136">
        <f t="shared" si="9"/>
        <v>110315</v>
      </c>
      <c r="F48" s="136">
        <f t="shared" si="9"/>
        <v>593453</v>
      </c>
      <c r="G48" s="136">
        <f t="shared" si="9"/>
        <v>657757</v>
      </c>
      <c r="H48" s="136">
        <f t="shared" si="9"/>
        <v>558712</v>
      </c>
      <c r="I48" s="136">
        <f t="shared" si="9"/>
        <v>780930</v>
      </c>
      <c r="J48" s="136">
        <f t="shared" si="9"/>
        <v>1928199</v>
      </c>
      <c r="K48" s="136">
        <f t="shared" si="9"/>
        <v>2531154</v>
      </c>
      <c r="L48" s="136">
        <f t="shared" si="9"/>
        <v>1935181</v>
      </c>
      <c r="M48" s="136">
        <f t="shared" si="9"/>
        <v>1513152</v>
      </c>
      <c r="N48" s="137">
        <f t="shared" si="9"/>
        <v>1812561</v>
      </c>
      <c r="O48" s="148"/>
      <c r="P48" s="148"/>
      <c r="Q48" s="148"/>
      <c r="R48" s="148"/>
      <c r="S48" s="149"/>
    </row>
    <row r="49" spans="1:19" x14ac:dyDescent="0.25">
      <c r="A49" s="132" t="s">
        <v>37</v>
      </c>
      <c r="B49" s="133">
        <f t="shared" ref="B49:S49" si="10">B38+B45</f>
        <v>118213</v>
      </c>
      <c r="C49" s="133">
        <f t="shared" si="10"/>
        <v>220226</v>
      </c>
      <c r="D49" s="133">
        <f t="shared" si="10"/>
        <v>232938</v>
      </c>
      <c r="E49" s="133">
        <f t="shared" si="10"/>
        <v>137544</v>
      </c>
      <c r="F49" s="133">
        <f t="shared" si="10"/>
        <v>558906</v>
      </c>
      <c r="G49" s="133">
        <f t="shared" si="10"/>
        <v>552742</v>
      </c>
      <c r="H49" s="133">
        <f t="shared" si="10"/>
        <v>578227</v>
      </c>
      <c r="I49" s="133">
        <f t="shared" si="10"/>
        <v>756392</v>
      </c>
      <c r="J49" s="133">
        <f t="shared" si="10"/>
        <v>1392474</v>
      </c>
      <c r="K49" s="133">
        <f t="shared" si="10"/>
        <v>2552159</v>
      </c>
      <c r="L49" s="133">
        <f t="shared" si="10"/>
        <v>2130299</v>
      </c>
      <c r="M49" s="133">
        <f t="shared" si="10"/>
        <v>1351508</v>
      </c>
      <c r="N49" s="134">
        <f t="shared" si="10"/>
        <v>1823705</v>
      </c>
      <c r="O49" s="133">
        <f t="shared" si="10"/>
        <v>1968376.3193639647</v>
      </c>
      <c r="P49" s="133">
        <f t="shared" si="10"/>
        <v>2460675.061104876</v>
      </c>
      <c r="Q49" s="133">
        <f t="shared" si="10"/>
        <v>2624526.1707040113</v>
      </c>
      <c r="R49" s="133">
        <f t="shared" si="10"/>
        <v>2935898.8833761029</v>
      </c>
      <c r="S49" s="134">
        <f t="shared" si="10"/>
        <v>3065016.5691180071</v>
      </c>
    </row>
    <row r="50" spans="1:19" x14ac:dyDescent="0.25">
      <c r="A50" s="122"/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7"/>
      <c r="S50" s="124"/>
    </row>
    <row r="51" spans="1:19" x14ac:dyDescent="0.25">
      <c r="A51" s="122" t="s">
        <v>36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7"/>
      <c r="S51" s="124"/>
    </row>
    <row r="52" spans="1:19" x14ac:dyDescent="0.25">
      <c r="A52" s="122" t="s">
        <v>35</v>
      </c>
      <c r="B52" s="126">
        <v>-36171</v>
      </c>
      <c r="C52" s="126">
        <v>-68098</v>
      </c>
      <c r="D52" s="126">
        <v>35859</v>
      </c>
      <c r="E52" s="126">
        <f>-194915</f>
        <v>-194915</v>
      </c>
      <c r="F52" s="126">
        <v>-94074</v>
      </c>
      <c r="G52" s="126">
        <f>-77661</f>
        <v>-77661</v>
      </c>
      <c r="H52" s="126">
        <v>-101197</v>
      </c>
      <c r="I52" s="126">
        <f>-53636</f>
        <v>-53636</v>
      </c>
      <c r="J52" s="126">
        <v>-98269</v>
      </c>
      <c r="K52" s="126">
        <f>-459171</f>
        <v>-459171</v>
      </c>
      <c r="L52" s="126">
        <v>-454331</v>
      </c>
      <c r="M52" s="126">
        <f>-517399</f>
        <v>-517399</v>
      </c>
      <c r="N52" s="127">
        <v>-827999</v>
      </c>
      <c r="O52" s="126">
        <f>CoE!O7</f>
        <v>-826926.38800000004</v>
      </c>
      <c r="P52" s="126">
        <f>CoE!P7</f>
        <v>-826926.38800000004</v>
      </c>
      <c r="Q52" s="126">
        <f>CoE!Q7</f>
        <v>-826926.38800000004</v>
      </c>
      <c r="R52" s="126">
        <f>CoE!R7</f>
        <v>-826926.38800000004</v>
      </c>
      <c r="S52" s="127">
        <f>CoE!S7</f>
        <v>-826926.38800000004</v>
      </c>
    </row>
    <row r="53" spans="1:19" x14ac:dyDescent="0.25">
      <c r="A53" s="122" t="s">
        <v>34</v>
      </c>
      <c r="B53" s="126">
        <v>-3257</v>
      </c>
      <c r="C53" s="126">
        <f>-32255</f>
        <v>-32255</v>
      </c>
      <c r="D53" s="126">
        <v>-145583</v>
      </c>
      <c r="E53" s="126">
        <v>93487</v>
      </c>
      <c r="F53" s="126">
        <v>10754</v>
      </c>
      <c r="G53" s="126">
        <v>9810</v>
      </c>
      <c r="H53" s="126">
        <v>5940</v>
      </c>
      <c r="I53" s="126">
        <v>28775</v>
      </c>
      <c r="J53" s="126">
        <v>-55731</v>
      </c>
      <c r="K53" s="126">
        <v>58533</v>
      </c>
      <c r="L53" s="126">
        <v>65751</v>
      </c>
      <c r="M53" s="126">
        <v>-160181</v>
      </c>
      <c r="N53" s="127">
        <v>75379</v>
      </c>
      <c r="O53" s="126"/>
      <c r="P53" s="126"/>
      <c r="Q53" s="126"/>
      <c r="R53" s="126"/>
      <c r="S53" s="127"/>
    </row>
    <row r="54" spans="1:19" x14ac:dyDescent="0.25">
      <c r="A54" s="122" t="s">
        <v>33</v>
      </c>
      <c r="B54" s="126">
        <v>17748</v>
      </c>
      <c r="C54" s="126">
        <v>1737</v>
      </c>
      <c r="D54" s="126">
        <v>-1219</v>
      </c>
      <c r="E54" s="126">
        <f>-1037</f>
        <v>-1037</v>
      </c>
      <c r="F54" s="126">
        <v>-1929</v>
      </c>
      <c r="G54" s="126">
        <v>-14</v>
      </c>
      <c r="H54" s="126">
        <v>139</v>
      </c>
      <c r="I54" s="126">
        <v>0</v>
      </c>
      <c r="J54" s="126">
        <v>-121</v>
      </c>
      <c r="K54" s="126">
        <v>-155</v>
      </c>
      <c r="L54" s="126">
        <v>4217</v>
      </c>
      <c r="M54" s="126">
        <v>10</v>
      </c>
      <c r="N54" s="127">
        <v>2585</v>
      </c>
      <c r="O54" s="126"/>
      <c r="P54" s="126"/>
      <c r="Q54" s="126"/>
      <c r="R54" s="126"/>
      <c r="S54" s="127"/>
    </row>
    <row r="55" spans="1:19" x14ac:dyDescent="0.25">
      <c r="A55" s="122" t="s">
        <v>32</v>
      </c>
      <c r="B55" s="126">
        <v>0</v>
      </c>
      <c r="C55" s="126">
        <v>0</v>
      </c>
      <c r="D55" s="126">
        <v>0</v>
      </c>
      <c r="E55" s="126">
        <v>0</v>
      </c>
      <c r="F55" s="126">
        <v>0</v>
      </c>
      <c r="G55" s="126">
        <v>0</v>
      </c>
      <c r="H55" s="126">
        <v>-47607</v>
      </c>
      <c r="I55" s="126">
        <f>-61106</f>
        <v>-61106</v>
      </c>
      <c r="J55" s="126">
        <v>-175149</v>
      </c>
      <c r="K55" s="126">
        <f>-280423</f>
        <v>-280423</v>
      </c>
      <c r="L55" s="126">
        <v>-283004</v>
      </c>
      <c r="M55" s="126">
        <f>-305778</f>
        <v>-305778</v>
      </c>
      <c r="N55" s="127">
        <v>-331963</v>
      </c>
      <c r="O55" s="126">
        <f>'Planted Area'!O52</f>
        <v>-415919.96640000003</v>
      </c>
      <c r="P55" s="126">
        <f>'Planted Area'!P52</f>
        <v>-436715.96472000005</v>
      </c>
      <c r="Q55" s="126">
        <f>'Planted Area'!Q52</f>
        <v>-458551.76295600005</v>
      </c>
      <c r="R55" s="126">
        <f>'Planted Area'!R52</f>
        <v>-481479.3511038</v>
      </c>
      <c r="S55" s="127">
        <f>'Planted Area'!S52</f>
        <v>-505553.31865899009</v>
      </c>
    </row>
    <row r="56" spans="1:19" x14ac:dyDescent="0.25">
      <c r="A56" s="122" t="s">
        <v>31</v>
      </c>
      <c r="B56" s="126">
        <v>0</v>
      </c>
      <c r="C56" s="126">
        <v>0</v>
      </c>
      <c r="D56" s="126">
        <v>0</v>
      </c>
      <c r="E56" s="126">
        <v>0</v>
      </c>
      <c r="F56" s="126">
        <v>0</v>
      </c>
      <c r="G56" s="126">
        <v>0</v>
      </c>
      <c r="H56" s="126">
        <v>0</v>
      </c>
      <c r="I56" s="126">
        <v>0</v>
      </c>
      <c r="J56" s="126">
        <v>0</v>
      </c>
      <c r="K56" s="126">
        <v>0</v>
      </c>
      <c r="L56" s="126">
        <v>-29795</v>
      </c>
      <c r="M56" s="126">
        <f>-23802</f>
        <v>-23802</v>
      </c>
      <c r="N56" s="127">
        <v>-54462</v>
      </c>
      <c r="O56" s="126"/>
      <c r="P56" s="126"/>
      <c r="Q56" s="126"/>
      <c r="R56" s="126"/>
      <c r="S56" s="127"/>
    </row>
    <row r="57" spans="1:19" x14ac:dyDescent="0.25">
      <c r="A57" s="122" t="s">
        <v>30</v>
      </c>
      <c r="B57" s="126">
        <v>-3215</v>
      </c>
      <c r="C57" s="126">
        <f>-3110</f>
        <v>-3110</v>
      </c>
      <c r="D57" s="126">
        <v>-7901</v>
      </c>
      <c r="E57" s="126">
        <f>-12011</f>
        <v>-12011</v>
      </c>
      <c r="F57" s="126">
        <v>-7214</v>
      </c>
      <c r="G57" s="126">
        <f>-4811</f>
        <v>-4811</v>
      </c>
      <c r="H57" s="126">
        <v>-1325</v>
      </c>
      <c r="I57" s="126">
        <f>-5783</f>
        <v>-5783</v>
      </c>
      <c r="J57" s="126">
        <v>-20610</v>
      </c>
      <c r="K57" s="126">
        <f>-18252</f>
        <v>-18252</v>
      </c>
      <c r="L57" s="126">
        <v>-14114</v>
      </c>
      <c r="M57" s="126">
        <v>8216</v>
      </c>
      <c r="N57" s="127">
        <v>37599</v>
      </c>
      <c r="O57" s="126">
        <f>O18*O59</f>
        <v>-28082.187143623083</v>
      </c>
      <c r="P57" s="126">
        <f>P18*P59</f>
        <v>-34849.755713151419</v>
      </c>
      <c r="Q57" s="126">
        <f>Q18*Q59</f>
        <v>-37198.96447538909</v>
      </c>
      <c r="R57" s="126">
        <f>R18*R59</f>
        <v>-41546.465714228973</v>
      </c>
      <c r="S57" s="127">
        <f>S18*S59</f>
        <v>-43395.069154887613</v>
      </c>
    </row>
    <row r="58" spans="1:19" x14ac:dyDescent="0.25">
      <c r="A58" s="135" t="s">
        <v>29</v>
      </c>
      <c r="B58" s="136">
        <f t="shared" ref="B58:S58" si="11">SUM(B52:B57)</f>
        <v>-24895</v>
      </c>
      <c r="C58" s="136">
        <f t="shared" si="11"/>
        <v>-101726</v>
      </c>
      <c r="D58" s="136">
        <f t="shared" si="11"/>
        <v>-118844</v>
      </c>
      <c r="E58" s="136">
        <f t="shared" si="11"/>
        <v>-114476</v>
      </c>
      <c r="F58" s="136">
        <f t="shared" si="11"/>
        <v>-92463</v>
      </c>
      <c r="G58" s="136">
        <f t="shared" si="11"/>
        <v>-72676</v>
      </c>
      <c r="H58" s="136">
        <f t="shared" si="11"/>
        <v>-144050</v>
      </c>
      <c r="I58" s="136">
        <f t="shared" si="11"/>
        <v>-91750</v>
      </c>
      <c r="J58" s="136">
        <f t="shared" si="11"/>
        <v>-349880</v>
      </c>
      <c r="K58" s="136">
        <f t="shared" si="11"/>
        <v>-699468</v>
      </c>
      <c r="L58" s="136">
        <f t="shared" si="11"/>
        <v>-711276</v>
      </c>
      <c r="M58" s="136">
        <f t="shared" si="11"/>
        <v>-998934</v>
      </c>
      <c r="N58" s="137">
        <f t="shared" si="11"/>
        <v>-1098861</v>
      </c>
      <c r="O58" s="136">
        <f t="shared" si="11"/>
        <v>-1270928.5415436232</v>
      </c>
      <c r="P58" s="136">
        <f t="shared" si="11"/>
        <v>-1298492.1084331516</v>
      </c>
      <c r="Q58" s="136">
        <f t="shared" si="11"/>
        <v>-1322677.1154313893</v>
      </c>
      <c r="R58" s="136">
        <f t="shared" si="11"/>
        <v>-1349952.2048180292</v>
      </c>
      <c r="S58" s="137">
        <f t="shared" si="11"/>
        <v>-1375874.7758138778</v>
      </c>
    </row>
    <row r="59" spans="1:19" x14ac:dyDescent="0.25">
      <c r="A59" s="150" t="s">
        <v>28</v>
      </c>
      <c r="B59" s="151">
        <f t="shared" ref="B59:N59" si="12">(B57+B56+B54+B53)/B18</f>
        <v>1.0892286530117036E-2</v>
      </c>
      <c r="C59" s="151">
        <f t="shared" si="12"/>
        <v>-2.5170583321606821E-2</v>
      </c>
      <c r="D59" s="151">
        <f t="shared" si="12"/>
        <v>-0.1044055310237685</v>
      </c>
      <c r="E59" s="151">
        <f t="shared" si="12"/>
        <v>5.0213334415351342E-2</v>
      </c>
      <c r="F59" s="151">
        <f t="shared" si="12"/>
        <v>8.6703615718380629E-4</v>
      </c>
      <c r="G59" s="151">
        <f t="shared" si="12"/>
        <v>2.3747401958005448E-3</v>
      </c>
      <c r="H59" s="151">
        <f t="shared" si="12"/>
        <v>1.8746759046573116E-3</v>
      </c>
      <c r="I59" s="151">
        <f t="shared" si="12"/>
        <v>7.4226476628118957E-3</v>
      </c>
      <c r="J59" s="151">
        <f t="shared" si="12"/>
        <v>-1.7524253932311305E-2</v>
      </c>
      <c r="K59" s="151">
        <f t="shared" si="12"/>
        <v>5.4422643378560301E-3</v>
      </c>
      <c r="L59" s="151">
        <f t="shared" si="12"/>
        <v>3.6039970774140897E-3</v>
      </c>
      <c r="M59" s="151">
        <f t="shared" si="12"/>
        <v>-2.5413967278235635E-2</v>
      </c>
      <c r="N59" s="152">
        <f t="shared" si="12"/>
        <v>7.1436864115629016E-3</v>
      </c>
      <c r="O59" s="151">
        <f>$B$60</f>
        <v>-3.0000000000000001E-3</v>
      </c>
      <c r="P59" s="151">
        <f>$B$60</f>
        <v>-3.0000000000000001E-3</v>
      </c>
      <c r="Q59" s="151">
        <f>$B$60</f>
        <v>-3.0000000000000001E-3</v>
      </c>
      <c r="R59" s="151">
        <f>$B$60</f>
        <v>-3.0000000000000001E-3</v>
      </c>
      <c r="S59" s="152">
        <f>$B$60</f>
        <v>-3.0000000000000001E-3</v>
      </c>
    </row>
    <row r="60" spans="1:19" x14ac:dyDescent="0.25">
      <c r="A60" s="153" t="s">
        <v>27</v>
      </c>
      <c r="B60" s="117">
        <v>-3.0000000000000001E-3</v>
      </c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7"/>
      <c r="O60" s="141"/>
      <c r="P60" s="141"/>
      <c r="Q60" s="141"/>
      <c r="R60" s="141"/>
      <c r="S60" s="147"/>
    </row>
    <row r="61" spans="1:19" x14ac:dyDescent="0.25">
      <c r="A61" s="132" t="s">
        <v>26</v>
      </c>
      <c r="B61" s="133">
        <f t="shared" ref="B61:N61" si="13">B48+B58</f>
        <v>125584</v>
      </c>
      <c r="C61" s="133">
        <f t="shared" si="13"/>
        <v>89071</v>
      </c>
      <c r="D61" s="133">
        <f t="shared" si="13"/>
        <v>166654</v>
      </c>
      <c r="E61" s="133">
        <f t="shared" si="13"/>
        <v>-4161</v>
      </c>
      <c r="F61" s="133">
        <f t="shared" si="13"/>
        <v>500990</v>
      </c>
      <c r="G61" s="133">
        <f t="shared" si="13"/>
        <v>585081</v>
      </c>
      <c r="H61" s="133">
        <f t="shared" si="13"/>
        <v>414662</v>
      </c>
      <c r="I61" s="133">
        <f t="shared" si="13"/>
        <v>689180</v>
      </c>
      <c r="J61" s="133">
        <f t="shared" si="13"/>
        <v>1578319</v>
      </c>
      <c r="K61" s="133">
        <f t="shared" si="13"/>
        <v>1831686</v>
      </c>
      <c r="L61" s="133">
        <f t="shared" si="13"/>
        <v>1223905</v>
      </c>
      <c r="M61" s="133">
        <f t="shared" si="13"/>
        <v>514218</v>
      </c>
      <c r="N61" s="134">
        <f t="shared" si="13"/>
        <v>713700</v>
      </c>
      <c r="O61" s="133">
        <f>O49+O58</f>
        <v>697447.77782034152</v>
      </c>
      <c r="P61" s="133">
        <f>P49+P58</f>
        <v>1162182.9526717244</v>
      </c>
      <c r="Q61" s="133">
        <f>Q49+Q58</f>
        <v>1301849.055272622</v>
      </c>
      <c r="R61" s="133">
        <f>R49+R58</f>
        <v>1585946.6785580737</v>
      </c>
      <c r="S61" s="134">
        <f>S49+S58</f>
        <v>1689141.7933041293</v>
      </c>
    </row>
    <row r="62" spans="1:19" x14ac:dyDescent="0.25">
      <c r="A62" s="119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1"/>
      <c r="O62" s="154"/>
      <c r="P62" s="154"/>
      <c r="Q62" s="154"/>
      <c r="R62" s="154"/>
      <c r="S62" s="155"/>
    </row>
    <row r="63" spans="1:19" x14ac:dyDescent="0.25">
      <c r="A63" s="122" t="s">
        <v>25</v>
      </c>
      <c r="B63" s="126">
        <v>-46441</v>
      </c>
      <c r="C63" s="126">
        <v>-43520</v>
      </c>
      <c r="D63" s="126">
        <v>-33038</v>
      </c>
      <c r="E63" s="126">
        <v>-27061</v>
      </c>
      <c r="F63" s="126">
        <v>-77161</v>
      </c>
      <c r="G63" s="126">
        <v>-97023</v>
      </c>
      <c r="H63" s="126">
        <v>-90856</v>
      </c>
      <c r="I63" s="126">
        <f>-111392</f>
        <v>-111392</v>
      </c>
      <c r="J63" s="126">
        <v>-174507</v>
      </c>
      <c r="K63" s="126">
        <f>-544401</f>
        <v>-544401</v>
      </c>
      <c r="L63" s="126">
        <v>-320959</v>
      </c>
      <c r="M63" s="126">
        <f>-1556</f>
        <v>-1556</v>
      </c>
      <c r="N63" s="127">
        <v>-209830</v>
      </c>
      <c r="S63" s="124"/>
    </row>
    <row r="64" spans="1:19" x14ac:dyDescent="0.25">
      <c r="A64" s="122" t="s">
        <v>286</v>
      </c>
      <c r="B64" s="126">
        <v>17460</v>
      </c>
      <c r="C64" s="126">
        <v>24591</v>
      </c>
      <c r="D64" s="126">
        <v>-12445</v>
      </c>
      <c r="E64" s="126">
        <v>46863</v>
      </c>
      <c r="F64" s="126">
        <v>-54567</v>
      </c>
      <c r="G64" s="126">
        <f>-81557</f>
        <v>-81557</v>
      </c>
      <c r="H64" s="126">
        <v>-8765</v>
      </c>
      <c r="I64" s="126">
        <f>-66839</f>
        <v>-66839</v>
      </c>
      <c r="J64" s="126">
        <v>-255544</v>
      </c>
      <c r="K64" s="126">
        <v>75309</v>
      </c>
      <c r="L64" s="126">
        <v>35034</v>
      </c>
      <c r="M64" s="126">
        <v>-30937</v>
      </c>
      <c r="N64" s="127">
        <v>61362</v>
      </c>
      <c r="S64" s="124"/>
    </row>
    <row r="65" spans="1:20" x14ac:dyDescent="0.25">
      <c r="A65" s="132" t="s">
        <v>24</v>
      </c>
      <c r="B65" s="133">
        <f t="shared" ref="B65:N65" si="14">SUM(B63:B64)</f>
        <v>-28981</v>
      </c>
      <c r="C65" s="133">
        <f t="shared" si="14"/>
        <v>-18929</v>
      </c>
      <c r="D65" s="133">
        <f t="shared" si="14"/>
        <v>-45483</v>
      </c>
      <c r="E65" s="133">
        <f t="shared" si="14"/>
        <v>19802</v>
      </c>
      <c r="F65" s="133">
        <f t="shared" si="14"/>
        <v>-131728</v>
      </c>
      <c r="G65" s="133">
        <f t="shared" si="14"/>
        <v>-178580</v>
      </c>
      <c r="H65" s="133">
        <f t="shared" si="14"/>
        <v>-99621</v>
      </c>
      <c r="I65" s="133">
        <f t="shared" si="14"/>
        <v>-178231</v>
      </c>
      <c r="J65" s="133">
        <f t="shared" si="14"/>
        <v>-430051</v>
      </c>
      <c r="K65" s="133">
        <f t="shared" si="14"/>
        <v>-469092</v>
      </c>
      <c r="L65" s="133">
        <f t="shared" si="14"/>
        <v>-285925</v>
      </c>
      <c r="M65" s="133">
        <f t="shared" si="14"/>
        <v>-32493</v>
      </c>
      <c r="N65" s="134">
        <f t="shared" si="14"/>
        <v>-148468</v>
      </c>
      <c r="O65" s="148">
        <f>O61*O66</f>
        <v>-174361.94445508538</v>
      </c>
      <c r="P65" s="148">
        <f>P61*P66</f>
        <v>-290545.73816793109</v>
      </c>
      <c r="Q65" s="148">
        <f>Q61*Q66</f>
        <v>-325462.26381815551</v>
      </c>
      <c r="R65" s="148">
        <f>R61*R66</f>
        <v>-396486.66963951843</v>
      </c>
      <c r="S65" s="149">
        <f>S61*S66</f>
        <v>-422285.44832603232</v>
      </c>
    </row>
    <row r="66" spans="1:20" x14ac:dyDescent="0.25">
      <c r="A66" s="122" t="s">
        <v>23</v>
      </c>
      <c r="B66" s="110">
        <f t="shared" ref="B66:N66" si="15">B65/B61</f>
        <v>-0.23076984329213912</v>
      </c>
      <c r="C66" s="110">
        <f t="shared" si="15"/>
        <v>-0.21251585813564461</v>
      </c>
      <c r="D66" s="110">
        <f t="shared" si="15"/>
        <v>-0.27291874182437864</v>
      </c>
      <c r="E66" s="110">
        <f t="shared" si="15"/>
        <v>-4.7589521749579431</v>
      </c>
      <c r="F66" s="110">
        <f t="shared" si="15"/>
        <v>-0.26293538793189486</v>
      </c>
      <c r="G66" s="110">
        <f t="shared" si="15"/>
        <v>-0.30522269566094268</v>
      </c>
      <c r="H66" s="110">
        <f t="shared" si="15"/>
        <v>-0.24024627286802264</v>
      </c>
      <c r="I66" s="110">
        <f t="shared" si="15"/>
        <v>-0.2586131344496358</v>
      </c>
      <c r="J66" s="110">
        <f t="shared" si="15"/>
        <v>-0.27247406893029863</v>
      </c>
      <c r="K66" s="110">
        <f t="shared" si="15"/>
        <v>-0.25609847976126915</v>
      </c>
      <c r="L66" s="110">
        <f t="shared" si="15"/>
        <v>-0.23361698824663679</v>
      </c>
      <c r="M66" s="110">
        <f t="shared" si="15"/>
        <v>-6.3189153238509738E-2</v>
      </c>
      <c r="N66" s="111">
        <f t="shared" si="15"/>
        <v>-0.20802578114053524</v>
      </c>
      <c r="O66" s="156">
        <f>'Income Statement'!$B$67*-1</f>
        <v>-0.25</v>
      </c>
      <c r="P66" s="156">
        <f>'Income Statement'!$B$67*-1</f>
        <v>-0.25</v>
      </c>
      <c r="Q66" s="156">
        <f>'Income Statement'!$B$67*-1</f>
        <v>-0.25</v>
      </c>
      <c r="R66" s="156">
        <f>'Income Statement'!$B$67*-1</f>
        <v>-0.25</v>
      </c>
      <c r="S66" s="157">
        <f>'Income Statement'!$B$67*-1</f>
        <v>-0.25</v>
      </c>
    </row>
    <row r="67" spans="1:20" x14ac:dyDescent="0.25">
      <c r="A67" s="158" t="s">
        <v>7</v>
      </c>
      <c r="B67" s="159">
        <v>0.25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1"/>
      <c r="O67" s="156"/>
      <c r="P67" s="156"/>
      <c r="Q67" s="156"/>
      <c r="R67" s="156"/>
      <c r="S67" s="157"/>
    </row>
    <row r="68" spans="1:20" ht="15.75" thickBot="1" x14ac:dyDescent="0.3">
      <c r="A68" s="160"/>
      <c r="B68" s="160"/>
      <c r="C68" s="160"/>
      <c r="D68" s="160"/>
      <c r="E68" s="160"/>
      <c r="F68" s="160"/>
      <c r="G68" s="160"/>
      <c r="H68" s="160"/>
      <c r="I68" s="160"/>
      <c r="J68" s="160"/>
      <c r="K68" s="160"/>
      <c r="L68" s="160"/>
      <c r="M68" s="160"/>
      <c r="N68" s="161"/>
      <c r="O68" s="162"/>
      <c r="P68" s="162"/>
      <c r="Q68" s="162"/>
      <c r="R68" s="162"/>
      <c r="S68" s="163"/>
    </row>
    <row r="69" spans="1:20" ht="15.75" thickTop="1" x14ac:dyDescent="0.25">
      <c r="A69" s="136" t="s">
        <v>22</v>
      </c>
      <c r="B69" s="136">
        <f>B61+B65</f>
        <v>96603</v>
      </c>
      <c r="C69" s="136">
        <f t="shared" ref="C69:S69" si="16">C61+C65</f>
        <v>70142</v>
      </c>
      <c r="D69" s="136">
        <f t="shared" si="16"/>
        <v>121171</v>
      </c>
      <c r="E69" s="136">
        <f t="shared" si="16"/>
        <v>15641</v>
      </c>
      <c r="F69" s="136">
        <f t="shared" si="16"/>
        <v>369262</v>
      </c>
      <c r="G69" s="136">
        <f t="shared" si="16"/>
        <v>406501</v>
      </c>
      <c r="H69" s="136">
        <f t="shared" si="16"/>
        <v>315041</v>
      </c>
      <c r="I69" s="136">
        <f t="shared" si="16"/>
        <v>510949</v>
      </c>
      <c r="J69" s="136">
        <f t="shared" si="16"/>
        <v>1148268</v>
      </c>
      <c r="K69" s="136">
        <f t="shared" si="16"/>
        <v>1362594</v>
      </c>
      <c r="L69" s="136">
        <f t="shared" si="16"/>
        <v>937980</v>
      </c>
      <c r="M69" s="136">
        <f t="shared" si="16"/>
        <v>481725</v>
      </c>
      <c r="N69" s="137">
        <f t="shared" si="16"/>
        <v>565232</v>
      </c>
      <c r="O69" s="136">
        <f>O61+O65</f>
        <v>523085.83336525614</v>
      </c>
      <c r="P69" s="136">
        <f t="shared" si="16"/>
        <v>871637.21450379328</v>
      </c>
      <c r="Q69" s="136">
        <f t="shared" si="16"/>
        <v>976386.79145446653</v>
      </c>
      <c r="R69" s="136">
        <f t="shared" si="16"/>
        <v>1189460.0089185552</v>
      </c>
      <c r="S69" s="137">
        <f t="shared" si="16"/>
        <v>1266856.3449780969</v>
      </c>
    </row>
    <row r="70" spans="1:20" x14ac:dyDescent="0.25">
      <c r="A70" s="122" t="s">
        <v>18</v>
      </c>
      <c r="B70" s="126"/>
      <c r="C70" s="164">
        <f t="shared" ref="C70:S70" si="17">(C69-B69)/B69</f>
        <v>-0.27391488877157022</v>
      </c>
      <c r="D70" s="164">
        <f t="shared" si="17"/>
        <v>0.72750990847138663</v>
      </c>
      <c r="E70" s="164">
        <f t="shared" si="17"/>
        <v>-0.87091795891756274</v>
      </c>
      <c r="F70" s="164">
        <f t="shared" si="17"/>
        <v>22.608592800971806</v>
      </c>
      <c r="G70" s="164">
        <f t="shared" si="17"/>
        <v>0.10084709501654651</v>
      </c>
      <c r="H70" s="164">
        <f t="shared" si="17"/>
        <v>-0.22499329644945523</v>
      </c>
      <c r="I70" s="164">
        <f t="shared" si="17"/>
        <v>0.62184921962538209</v>
      </c>
      <c r="J70" s="164">
        <f t="shared" si="17"/>
        <v>1.2473240969255248</v>
      </c>
      <c r="K70" s="164">
        <f t="shared" si="17"/>
        <v>0.18665154824483482</v>
      </c>
      <c r="L70" s="164">
        <f t="shared" si="17"/>
        <v>-0.31162180370675346</v>
      </c>
      <c r="M70" s="164">
        <f t="shared" si="17"/>
        <v>-0.48642295144885817</v>
      </c>
      <c r="N70" s="165">
        <f t="shared" si="17"/>
        <v>0.17334994031864653</v>
      </c>
      <c r="O70" s="164">
        <f t="shared" si="17"/>
        <v>-7.4564367613199289E-2</v>
      </c>
      <c r="P70" s="164">
        <f t="shared" si="17"/>
        <v>0.66633687801511055</v>
      </c>
      <c r="Q70" s="164">
        <f t="shared" si="17"/>
        <v>0.12017565933127949</v>
      </c>
      <c r="R70" s="164">
        <f t="shared" si="17"/>
        <v>0.2182262391594687</v>
      </c>
      <c r="S70" s="165">
        <f t="shared" si="17"/>
        <v>6.5068464243627347E-2</v>
      </c>
    </row>
    <row r="71" spans="1:20" x14ac:dyDescent="0.25">
      <c r="A71" s="166" t="s">
        <v>21</v>
      </c>
      <c r="B71" s="133">
        <f>B69+B32-B16</f>
        <v>64337</v>
      </c>
      <c r="C71" s="133">
        <f>C69+C32-C16</f>
        <v>99571</v>
      </c>
      <c r="D71" s="133">
        <f t="shared" ref="D71:M71" si="18">D69+D32-D16</f>
        <v>68611</v>
      </c>
      <c r="E71" s="133">
        <f t="shared" si="18"/>
        <v>42870</v>
      </c>
      <c r="F71" s="133">
        <f t="shared" si="18"/>
        <v>334715</v>
      </c>
      <c r="G71" s="133">
        <f t="shared" si="18"/>
        <v>301486</v>
      </c>
      <c r="H71" s="133">
        <f t="shared" si="18"/>
        <v>334556</v>
      </c>
      <c r="I71" s="133">
        <f t="shared" si="18"/>
        <v>486411</v>
      </c>
      <c r="J71" s="133">
        <f t="shared" si="18"/>
        <v>612543</v>
      </c>
      <c r="K71" s="133">
        <f t="shared" si="18"/>
        <v>1383599</v>
      </c>
      <c r="L71" s="133">
        <f t="shared" si="18"/>
        <v>1133098</v>
      </c>
      <c r="M71" s="133">
        <f t="shared" si="18"/>
        <v>320081</v>
      </c>
      <c r="N71" s="134">
        <f>N69+N32-N16</f>
        <v>576376</v>
      </c>
      <c r="O71" s="133">
        <f>O61+O65</f>
        <v>523085.83336525614</v>
      </c>
      <c r="P71" s="133">
        <f>P61+P65</f>
        <v>871637.21450379328</v>
      </c>
      <c r="Q71" s="133">
        <f>Q61+Q65</f>
        <v>976386.79145446653</v>
      </c>
      <c r="R71" s="133">
        <f>R61+R65</f>
        <v>1189460.0089185552</v>
      </c>
      <c r="S71" s="134">
        <f>S61+S65</f>
        <v>1266856.3449780969</v>
      </c>
    </row>
    <row r="72" spans="1:20" x14ac:dyDescent="0.25">
      <c r="A72" s="167"/>
      <c r="B72" s="168"/>
      <c r="C72" s="169">
        <f t="shared" ref="C72:S72" si="19">(C71-B71)/B71</f>
        <v>0.54764754340426192</v>
      </c>
      <c r="D72" s="169">
        <f t="shared" si="19"/>
        <v>-0.31093390645870783</v>
      </c>
      <c r="E72" s="169">
        <f t="shared" si="19"/>
        <v>-0.3751730772033639</v>
      </c>
      <c r="F72" s="169">
        <f t="shared" si="19"/>
        <v>6.8076743643573598</v>
      </c>
      <c r="G72" s="169">
        <f t="shared" si="19"/>
        <v>-9.9275503039899612E-2</v>
      </c>
      <c r="H72" s="169">
        <f t="shared" si="19"/>
        <v>0.10969000218915638</v>
      </c>
      <c r="I72" s="169">
        <f t="shared" si="19"/>
        <v>0.4539000944535444</v>
      </c>
      <c r="J72" s="169">
        <f t="shared" si="19"/>
        <v>0.25931156984525433</v>
      </c>
      <c r="K72" s="169">
        <f t="shared" si="19"/>
        <v>1.2587785673822083</v>
      </c>
      <c r="L72" s="169">
        <f t="shared" si="19"/>
        <v>-0.18105028985999555</v>
      </c>
      <c r="M72" s="169">
        <f t="shared" si="19"/>
        <v>-0.71751693145694373</v>
      </c>
      <c r="N72" s="170">
        <f t="shared" si="19"/>
        <v>0.8007191929542834</v>
      </c>
      <c r="O72" s="169">
        <f t="shared" si="19"/>
        <v>-9.2457296339097841E-2</v>
      </c>
      <c r="P72" s="169">
        <f t="shared" si="19"/>
        <v>0.66633687801511055</v>
      </c>
      <c r="Q72" s="169">
        <f t="shared" si="19"/>
        <v>0.12017565933127949</v>
      </c>
      <c r="R72" s="169">
        <f t="shared" si="19"/>
        <v>0.2182262391594687</v>
      </c>
      <c r="S72" s="170">
        <f t="shared" si="19"/>
        <v>6.5068464243627347E-2</v>
      </c>
      <c r="T72" s="171"/>
    </row>
    <row r="73" spans="1:20" x14ac:dyDescent="0.25">
      <c r="A73" s="172"/>
    </row>
    <row r="74" spans="1:20" x14ac:dyDescent="0.25">
      <c r="N74" s="358"/>
    </row>
    <row r="75" spans="1:20" x14ac:dyDescent="0.25">
      <c r="N75" s="359"/>
    </row>
    <row r="76" spans="1:20" x14ac:dyDescent="0.25">
      <c r="A76" s="173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</row>
    <row r="83" spans="1:18" x14ac:dyDescent="0.25">
      <c r="B83" s="118"/>
    </row>
    <row r="86" spans="1:18" x14ac:dyDescent="0.25">
      <c r="B86" s="174"/>
      <c r="G86" s="141"/>
      <c r="I86" s="141"/>
      <c r="K86" s="141"/>
      <c r="M86" s="141"/>
    </row>
    <row r="87" spans="1:18" x14ac:dyDescent="0.25">
      <c r="B87" s="174"/>
      <c r="C87" s="123"/>
      <c r="D87" s="141"/>
      <c r="E87" s="141"/>
      <c r="G87" s="141"/>
      <c r="H87" s="141"/>
      <c r="I87" s="141"/>
      <c r="J87" s="141"/>
      <c r="K87" s="141"/>
      <c r="L87" s="141"/>
      <c r="M87" s="141"/>
      <c r="N87" s="141"/>
    </row>
    <row r="88" spans="1:18" x14ac:dyDescent="0.25">
      <c r="C88" s="123"/>
      <c r="D88" s="123"/>
      <c r="E88" s="123"/>
      <c r="F88" s="123"/>
      <c r="G88" s="123"/>
      <c r="H88" s="123"/>
      <c r="I88" s="123"/>
      <c r="J88" s="123"/>
      <c r="K88" s="123"/>
      <c r="L88" s="123"/>
      <c r="M88" s="123"/>
      <c r="N88" s="123"/>
    </row>
    <row r="89" spans="1:18" x14ac:dyDescent="0.25">
      <c r="C89" s="123"/>
      <c r="D89" s="123"/>
      <c r="E89" s="123"/>
      <c r="F89" s="123"/>
      <c r="G89" s="123"/>
      <c r="H89" s="123"/>
      <c r="I89" s="123"/>
      <c r="J89" s="123"/>
      <c r="K89" s="123"/>
      <c r="L89" s="123"/>
      <c r="M89" s="123"/>
      <c r="N89" s="123"/>
    </row>
    <row r="90" spans="1:18" x14ac:dyDescent="0.25">
      <c r="C90" s="141"/>
      <c r="D90" s="141"/>
      <c r="F90" s="141"/>
      <c r="G90" s="141"/>
      <c r="H90" s="141"/>
      <c r="I90" s="141"/>
      <c r="J90" s="141"/>
      <c r="K90" s="141"/>
      <c r="L90" s="141"/>
      <c r="M90" s="141"/>
      <c r="N90" s="141"/>
    </row>
    <row r="91" spans="1:18" x14ac:dyDescent="0.25">
      <c r="A91" s="173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</row>
    <row r="97" spans="1:14" x14ac:dyDescent="0.25">
      <c r="A97" s="118" t="s">
        <v>11</v>
      </c>
      <c r="B97" s="174">
        <v>115516</v>
      </c>
      <c r="C97" s="118">
        <v>99919</v>
      </c>
      <c r="D97" s="118">
        <v>106803</v>
      </c>
      <c r="E97" s="118">
        <v>104242</v>
      </c>
      <c r="F97" s="118">
        <v>91506</v>
      </c>
      <c r="G97" s="141">
        <v>111231</v>
      </c>
      <c r="H97" s="118">
        <v>105810</v>
      </c>
      <c r="I97" s="141">
        <v>119686</v>
      </c>
      <c r="J97" s="118">
        <v>145870</v>
      </c>
      <c r="K97" s="141">
        <v>177814</v>
      </c>
      <c r="L97" s="118">
        <v>219688</v>
      </c>
      <c r="M97" s="141">
        <v>286202</v>
      </c>
      <c r="N97" s="118">
        <v>380591</v>
      </c>
    </row>
    <row r="98" spans="1:14" x14ac:dyDescent="0.25">
      <c r="A98" s="118" t="s">
        <v>20</v>
      </c>
      <c r="B98" s="174"/>
      <c r="C98" s="123"/>
      <c r="D98" s="141"/>
      <c r="E98" s="141"/>
      <c r="G98" s="141"/>
      <c r="H98" s="141">
        <v>43336</v>
      </c>
      <c r="I98" s="141">
        <v>73663</v>
      </c>
      <c r="J98" s="141">
        <v>133287</v>
      </c>
      <c r="K98" s="141">
        <v>310743</v>
      </c>
      <c r="L98" s="141">
        <v>299542</v>
      </c>
      <c r="M98" s="141">
        <v>289102</v>
      </c>
      <c r="N98" s="141">
        <v>336263</v>
      </c>
    </row>
    <row r="99" spans="1:14" x14ac:dyDescent="0.25">
      <c r="B99" s="118"/>
    </row>
    <row r="100" spans="1:14" x14ac:dyDescent="0.25">
      <c r="B100" s="118"/>
    </row>
    <row r="101" spans="1:14" x14ac:dyDescent="0.25">
      <c r="B101" s="118"/>
    </row>
    <row r="102" spans="1:14" x14ac:dyDescent="0.25">
      <c r="B102" s="118"/>
    </row>
  </sheetData>
  <mergeCells count="1">
    <mergeCell ref="A1:S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22224-88C2-4EF7-A441-FE09B4E6F99F}">
  <sheetPr>
    <tabColor rgb="FF0D5D3F"/>
  </sheetPr>
  <dimension ref="A1:U108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S36" sqref="S36"/>
    </sheetView>
  </sheetViews>
  <sheetFormatPr defaultRowHeight="15" x14ac:dyDescent="0.25"/>
  <cols>
    <col min="1" max="1" width="48.85546875" style="118" bestFit="1" customWidth="1"/>
    <col min="2" max="2" width="15.5703125" style="118" customWidth="1"/>
    <col min="3" max="3" width="11.85546875" style="118" customWidth="1"/>
    <col min="4" max="13" width="13.5703125" style="118" bestFit="1" customWidth="1"/>
    <col min="14" max="14" width="16" style="118" bestFit="1" customWidth="1"/>
    <col min="15" max="15" width="14.140625" style="118" customWidth="1"/>
    <col min="16" max="17" width="12.140625" style="118" bestFit="1" customWidth="1"/>
    <col min="18" max="18" width="11" style="118" bestFit="1" customWidth="1"/>
    <col min="19" max="19" width="14.5703125" style="118" bestFit="1" customWidth="1"/>
    <col min="20" max="20" width="19.85546875" style="118" bestFit="1" customWidth="1"/>
    <col min="21" max="21" width="11.140625" style="118" bestFit="1" customWidth="1"/>
    <col min="22" max="16384" width="9.140625" style="118"/>
  </cols>
  <sheetData>
    <row r="1" spans="1:19" s="242" customFormat="1" ht="19.5" customHeight="1" x14ac:dyDescent="0.25">
      <c r="A1" s="389" t="s">
        <v>267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1"/>
    </row>
    <row r="2" spans="1:19" x14ac:dyDescent="0.25">
      <c r="A2" s="119" t="s">
        <v>156</v>
      </c>
      <c r="B2" s="118" t="s">
        <v>131</v>
      </c>
      <c r="C2" s="118" t="s">
        <v>130</v>
      </c>
      <c r="D2" s="118" t="s">
        <v>129</v>
      </c>
      <c r="E2" s="118" t="s">
        <v>128</v>
      </c>
      <c r="F2" s="118" t="s">
        <v>127</v>
      </c>
      <c r="G2" s="118" t="s">
        <v>126</v>
      </c>
      <c r="H2" s="118" t="s">
        <v>125</v>
      </c>
      <c r="I2" s="118" t="s">
        <v>124</v>
      </c>
      <c r="J2" s="118" t="s">
        <v>123</v>
      </c>
      <c r="K2" s="118" t="s">
        <v>122</v>
      </c>
      <c r="L2" s="118" t="s">
        <v>121</v>
      </c>
      <c r="M2" s="118" t="s">
        <v>120</v>
      </c>
      <c r="N2" s="118" t="s">
        <v>119</v>
      </c>
      <c r="O2" s="118" t="s">
        <v>118</v>
      </c>
      <c r="P2" s="118" t="s">
        <v>117</v>
      </c>
      <c r="Q2" s="118" t="s">
        <v>116</v>
      </c>
      <c r="R2" s="118" t="s">
        <v>115</v>
      </c>
      <c r="S2" s="124" t="s">
        <v>114</v>
      </c>
    </row>
    <row r="3" spans="1:19" x14ac:dyDescent="0.25">
      <c r="A3" s="119"/>
      <c r="B3" s="118" t="s">
        <v>256</v>
      </c>
      <c r="C3" s="118" t="s">
        <v>256</v>
      </c>
      <c r="D3" s="118" t="s">
        <v>256</v>
      </c>
      <c r="E3" s="118" t="s">
        <v>256</v>
      </c>
      <c r="F3" s="118" t="s">
        <v>256</v>
      </c>
      <c r="G3" s="118" t="s">
        <v>256</v>
      </c>
      <c r="H3" s="118" t="s">
        <v>256</v>
      </c>
      <c r="I3" s="118" t="s">
        <v>256</v>
      </c>
      <c r="J3" s="118" t="s">
        <v>256</v>
      </c>
      <c r="K3" s="118" t="s">
        <v>256</v>
      </c>
      <c r="L3" s="118" t="s">
        <v>256</v>
      </c>
      <c r="M3" s="118" t="s">
        <v>256</v>
      </c>
      <c r="N3" s="124" t="s">
        <v>256</v>
      </c>
      <c r="O3" s="118" t="s">
        <v>257</v>
      </c>
      <c r="P3" s="118" t="s">
        <v>257</v>
      </c>
      <c r="Q3" s="118" t="s">
        <v>257</v>
      </c>
      <c r="R3" s="118" t="s">
        <v>257</v>
      </c>
      <c r="S3" s="124" t="s">
        <v>257</v>
      </c>
    </row>
    <row r="4" spans="1:19" x14ac:dyDescent="0.25">
      <c r="A4" s="122" t="s">
        <v>155</v>
      </c>
      <c r="B4" s="106">
        <v>81019</v>
      </c>
      <c r="C4" s="106">
        <v>83680</v>
      </c>
      <c r="D4" s="106">
        <v>74404</v>
      </c>
      <c r="E4" s="106">
        <v>58886</v>
      </c>
      <c r="F4" s="106">
        <v>57832</v>
      </c>
      <c r="G4" s="106">
        <v>72852</v>
      </c>
      <c r="H4" s="106">
        <v>74054</v>
      </c>
      <c r="I4" s="106">
        <v>78011</v>
      </c>
      <c r="J4" s="106">
        <v>86357</v>
      </c>
      <c r="K4" s="106">
        <v>85823</v>
      </c>
      <c r="L4" s="106">
        <v>106698</v>
      </c>
      <c r="M4" s="106">
        <v>95460</v>
      </c>
      <c r="N4" s="107">
        <v>107464</v>
      </c>
      <c r="O4" s="106">
        <f t="shared" ref="O4:S10" si="0">O16*O$11</f>
        <v>134601.00760219502</v>
      </c>
      <c r="P4" s="106">
        <f t="shared" si="0"/>
        <v>141331.05798230477</v>
      </c>
      <c r="Q4" s="106">
        <f t="shared" si="0"/>
        <v>148397.61088142003</v>
      </c>
      <c r="R4" s="106">
        <f t="shared" si="0"/>
        <v>155817.49142549103</v>
      </c>
      <c r="S4" s="107">
        <f t="shared" si="0"/>
        <v>163608.36599676558</v>
      </c>
    </row>
    <row r="5" spans="1:19" x14ac:dyDescent="0.25">
      <c r="A5" s="122" t="s">
        <v>154</v>
      </c>
      <c r="B5" s="106">
        <v>12647</v>
      </c>
      <c r="C5" s="106">
        <v>14882</v>
      </c>
      <c r="D5" s="106">
        <v>19002</v>
      </c>
      <c r="E5" s="106">
        <v>28554</v>
      </c>
      <c r="F5" s="106">
        <v>37292</v>
      </c>
      <c r="G5" s="106">
        <v>50875</v>
      </c>
      <c r="H5" s="106">
        <v>51408</v>
      </c>
      <c r="I5" s="106">
        <v>31594</v>
      </c>
      <c r="J5" s="106">
        <v>90628</v>
      </c>
      <c r="K5" s="106">
        <v>76420</v>
      </c>
      <c r="L5" s="106">
        <v>82036</v>
      </c>
      <c r="M5" s="106">
        <v>83343</v>
      </c>
      <c r="N5" s="107">
        <v>84620</v>
      </c>
      <c r="O5" s="106">
        <f t="shared" si="0"/>
        <v>108592.37524448123</v>
      </c>
      <c r="P5" s="106">
        <f t="shared" si="0"/>
        <v>114021.99400670528</v>
      </c>
      <c r="Q5" s="106">
        <f t="shared" si="0"/>
        <v>119723.09370704055</v>
      </c>
      <c r="R5" s="106">
        <f t="shared" si="0"/>
        <v>125709.24839239258</v>
      </c>
      <c r="S5" s="107">
        <f t="shared" si="0"/>
        <v>131994.7108120122</v>
      </c>
    </row>
    <row r="6" spans="1:19" x14ac:dyDescent="0.25">
      <c r="A6" s="122" t="s">
        <v>108</v>
      </c>
      <c r="B6" s="106">
        <v>184702</v>
      </c>
      <c r="C6" s="106">
        <v>208693</v>
      </c>
      <c r="D6" s="106">
        <v>212586</v>
      </c>
      <c r="E6" s="106">
        <v>230127</v>
      </c>
      <c r="F6" s="106">
        <v>230164</v>
      </c>
      <c r="G6" s="106">
        <v>243149</v>
      </c>
      <c r="H6" s="106">
        <v>235444</v>
      </c>
      <c r="I6" s="106">
        <v>229449</v>
      </c>
      <c r="J6" s="106">
        <v>334891</v>
      </c>
      <c r="K6" s="106">
        <v>346941</v>
      </c>
      <c r="L6" s="106">
        <v>320009</v>
      </c>
      <c r="M6" s="106">
        <v>377531</v>
      </c>
      <c r="N6" s="107">
        <v>424672</v>
      </c>
      <c r="O6" s="106">
        <f t="shared" si="0"/>
        <v>482719.67766669474</v>
      </c>
      <c r="P6" s="106">
        <f t="shared" si="0"/>
        <v>506855.66155002947</v>
      </c>
      <c r="Q6" s="106">
        <f t="shared" si="0"/>
        <v>532198.44462753099</v>
      </c>
      <c r="R6" s="106">
        <f t="shared" si="0"/>
        <v>558808.36685890751</v>
      </c>
      <c r="S6" s="107">
        <f t="shared" si="0"/>
        <v>586748.78520185291</v>
      </c>
    </row>
    <row r="7" spans="1:19" x14ac:dyDescent="0.25">
      <c r="A7" s="122" t="s">
        <v>153</v>
      </c>
      <c r="B7" s="106">
        <v>13575</v>
      </c>
      <c r="C7" s="106">
        <v>5127</v>
      </c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24"/>
      <c r="O7" s="106">
        <f t="shared" si="0"/>
        <v>0</v>
      </c>
      <c r="P7" s="106">
        <f t="shared" si="0"/>
        <v>0</v>
      </c>
      <c r="Q7" s="106">
        <f t="shared" si="0"/>
        <v>0</v>
      </c>
      <c r="R7" s="106">
        <f t="shared" si="0"/>
        <v>0</v>
      </c>
      <c r="S7" s="107">
        <f t="shared" si="0"/>
        <v>0</v>
      </c>
    </row>
    <row r="8" spans="1:19" x14ac:dyDescent="0.25">
      <c r="A8" s="122" t="s">
        <v>152</v>
      </c>
      <c r="B8" s="106">
        <v>37190</v>
      </c>
      <c r="C8" s="106">
        <v>38280</v>
      </c>
      <c r="D8" s="106">
        <v>65681</v>
      </c>
      <c r="E8" s="106">
        <v>71790</v>
      </c>
      <c r="F8" s="106">
        <v>76931</v>
      </c>
      <c r="G8" s="106">
        <v>89311</v>
      </c>
      <c r="H8" s="106">
        <v>82392</v>
      </c>
      <c r="I8" s="106">
        <v>106470</v>
      </c>
      <c r="J8" s="106">
        <v>121633</v>
      </c>
      <c r="K8" s="106">
        <v>137585</v>
      </c>
      <c r="L8" s="106">
        <v>95167</v>
      </c>
      <c r="M8" s="106">
        <v>122748</v>
      </c>
      <c r="N8" s="107">
        <v>157370</v>
      </c>
      <c r="O8" s="106">
        <f t="shared" si="0"/>
        <v>160036.22774084381</v>
      </c>
      <c r="P8" s="106">
        <f t="shared" si="0"/>
        <v>168038.039127886</v>
      </c>
      <c r="Q8" s="106">
        <f t="shared" si="0"/>
        <v>176439.94108428029</v>
      </c>
      <c r="R8" s="106">
        <f t="shared" si="0"/>
        <v>185261.93813849433</v>
      </c>
      <c r="S8" s="107">
        <f t="shared" si="0"/>
        <v>194525.03504541903</v>
      </c>
    </row>
    <row r="9" spans="1:19" x14ac:dyDescent="0.25">
      <c r="A9" s="122" t="s">
        <v>63</v>
      </c>
      <c r="B9" s="253"/>
      <c r="C9" s="253"/>
      <c r="D9" s="253"/>
      <c r="E9" s="253"/>
      <c r="F9" s="253"/>
      <c r="G9" s="253"/>
      <c r="H9" s="253"/>
      <c r="I9" s="253">
        <v>3526</v>
      </c>
      <c r="J9" s="253">
        <v>4932</v>
      </c>
      <c r="K9" s="253">
        <v>3962</v>
      </c>
      <c r="L9" s="253">
        <v>5298</v>
      </c>
      <c r="M9" s="253">
        <v>5594</v>
      </c>
      <c r="N9" s="260">
        <v>8341</v>
      </c>
      <c r="O9" s="106">
        <f t="shared" si="0"/>
        <v>8207.834502412652</v>
      </c>
      <c r="P9" s="106">
        <f t="shared" si="0"/>
        <v>8618.2262275332832</v>
      </c>
      <c r="Q9" s="106">
        <f t="shared" si="0"/>
        <v>9049.1375389099485</v>
      </c>
      <c r="R9" s="106">
        <f t="shared" si="0"/>
        <v>9501.5944158554466</v>
      </c>
      <c r="S9" s="107">
        <f t="shared" si="0"/>
        <v>9976.6741366482183</v>
      </c>
    </row>
    <row r="10" spans="1:19" x14ac:dyDescent="0.25">
      <c r="A10" s="122" t="s">
        <v>111</v>
      </c>
      <c r="B10" s="106">
        <v>14435</v>
      </c>
      <c r="C10" s="106">
        <v>19363</v>
      </c>
      <c r="D10" s="106">
        <v>5587</v>
      </c>
      <c r="E10" s="106">
        <v>3564</v>
      </c>
      <c r="F10" s="106">
        <v>2228</v>
      </c>
      <c r="G10" s="106">
        <v>1912</v>
      </c>
      <c r="H10" s="106">
        <v>5270</v>
      </c>
      <c r="I10" s="106">
        <v>14117</v>
      </c>
      <c r="J10" s="106">
        <v>33505</v>
      </c>
      <c r="K10" s="106">
        <v>23653</v>
      </c>
      <c r="L10" s="106">
        <v>52134</v>
      </c>
      <c r="M10" s="106">
        <v>51230</v>
      </c>
      <c r="N10" s="107">
        <v>54732</v>
      </c>
      <c r="O10" s="106">
        <f t="shared" si="0"/>
        <v>68620.577243372449</v>
      </c>
      <c r="P10" s="106">
        <f t="shared" si="0"/>
        <v>72051.606105541068</v>
      </c>
      <c r="Q10" s="106">
        <f t="shared" si="0"/>
        <v>75654.186410818118</v>
      </c>
      <c r="R10" s="106">
        <f t="shared" si="0"/>
        <v>79436.895731359036</v>
      </c>
      <c r="S10" s="107">
        <f t="shared" si="0"/>
        <v>83408.740517926984</v>
      </c>
    </row>
    <row r="11" spans="1:19" x14ac:dyDescent="0.25">
      <c r="A11" s="254" t="s">
        <v>150</v>
      </c>
      <c r="B11" s="255">
        <f t="shared" ref="B11:N11" si="1">SUM(B4:B10)</f>
        <v>343568</v>
      </c>
      <c r="C11" s="255">
        <f t="shared" si="1"/>
        <v>370025</v>
      </c>
      <c r="D11" s="255">
        <f t="shared" si="1"/>
        <v>377260</v>
      </c>
      <c r="E11" s="255">
        <f t="shared" si="1"/>
        <v>392921</v>
      </c>
      <c r="F11" s="255">
        <f t="shared" si="1"/>
        <v>404447</v>
      </c>
      <c r="G11" s="255">
        <f t="shared" si="1"/>
        <v>458099</v>
      </c>
      <c r="H11" s="255">
        <f t="shared" si="1"/>
        <v>448568</v>
      </c>
      <c r="I11" s="255">
        <f t="shared" si="1"/>
        <v>463167</v>
      </c>
      <c r="J11" s="255">
        <f t="shared" si="1"/>
        <v>671946</v>
      </c>
      <c r="K11" s="255">
        <f t="shared" si="1"/>
        <v>674384</v>
      </c>
      <c r="L11" s="255">
        <f t="shared" si="1"/>
        <v>661342</v>
      </c>
      <c r="M11" s="255">
        <f t="shared" si="1"/>
        <v>735906</v>
      </c>
      <c r="N11" s="256">
        <f t="shared" si="1"/>
        <v>837199</v>
      </c>
      <c r="O11" s="255">
        <f>O35</f>
        <v>962777.7</v>
      </c>
      <c r="P11" s="255">
        <f>P35</f>
        <v>1010916.585</v>
      </c>
      <c r="Q11" s="255">
        <f>Q35</f>
        <v>1061462.4142499999</v>
      </c>
      <c r="R11" s="255">
        <f>R35</f>
        <v>1114535.5349625</v>
      </c>
      <c r="S11" s="256">
        <f>S35</f>
        <v>1170262.311710625</v>
      </c>
    </row>
    <row r="12" spans="1:19" x14ac:dyDescent="0.25">
      <c r="A12" s="276" t="s">
        <v>141</v>
      </c>
      <c r="B12" s="277"/>
      <c r="C12" s="278">
        <f t="shared" ref="C12:N12" si="2">(C35-B35)/B35</f>
        <v>7.700950030270573E-2</v>
      </c>
      <c r="D12" s="278">
        <f t="shared" si="2"/>
        <v>1.9541870030754596E-2</v>
      </c>
      <c r="E12" s="278">
        <f t="shared" si="2"/>
        <v>4.1520767010287417E-2</v>
      </c>
      <c r="F12" s="278">
        <f t="shared" si="2"/>
        <v>2.9331595918772477E-2</v>
      </c>
      <c r="G12" s="278">
        <f t="shared" si="2"/>
        <v>0.13265800626041549</v>
      </c>
      <c r="H12" s="278">
        <f t="shared" si="2"/>
        <v>-2.0805546399359092E-2</v>
      </c>
      <c r="I12" s="278">
        <f t="shared" si="2"/>
        <v>3.2545790158905671E-2</v>
      </c>
      <c r="J12" s="278">
        <f t="shared" si="2"/>
        <v>0.45076397929904333</v>
      </c>
      <c r="K12" s="278">
        <f t="shared" si="2"/>
        <v>3.627553404589087E-3</v>
      </c>
      <c r="L12" s="278">
        <f t="shared" si="2"/>
        <v>-1.9336949396390971E-2</v>
      </c>
      <c r="M12" s="278">
        <f t="shared" si="2"/>
        <v>0.11274633586505035</v>
      </c>
      <c r="N12" s="281">
        <f t="shared" si="2"/>
        <v>0.13764103344580225</v>
      </c>
      <c r="O12" s="279">
        <v>0.15</v>
      </c>
      <c r="P12" s="279">
        <v>0.05</v>
      </c>
      <c r="Q12" s="279">
        <v>0.05</v>
      </c>
      <c r="R12" s="279">
        <v>0.05</v>
      </c>
      <c r="S12" s="280">
        <v>0.05</v>
      </c>
    </row>
    <row r="13" spans="1:19" x14ac:dyDescent="0.25">
      <c r="B13" s="191"/>
      <c r="C13" s="245"/>
      <c r="D13" s="245"/>
      <c r="E13" s="245"/>
      <c r="F13" s="245"/>
      <c r="G13" s="245"/>
      <c r="H13" s="245"/>
      <c r="I13" s="245"/>
      <c r="J13" s="245"/>
      <c r="K13" s="245"/>
      <c r="L13" s="245"/>
      <c r="M13" s="245"/>
      <c r="N13" s="245"/>
    </row>
    <row r="14" spans="1:19" x14ac:dyDescent="0.25">
      <c r="B14" s="246"/>
      <c r="C14" s="191"/>
      <c r="D14" s="191"/>
      <c r="E14" s="191"/>
      <c r="F14" s="191"/>
      <c r="G14" s="191"/>
      <c r="H14" s="191"/>
      <c r="I14" s="245"/>
      <c r="J14" s="245"/>
      <c r="K14" s="245"/>
      <c r="L14" s="245"/>
      <c r="M14" s="245"/>
      <c r="N14" s="245"/>
    </row>
    <row r="15" spans="1:19" x14ac:dyDescent="0.25">
      <c r="A15" s="395" t="s">
        <v>299</v>
      </c>
      <c r="B15" s="396"/>
      <c r="C15" s="396"/>
      <c r="D15" s="396"/>
      <c r="E15" s="396"/>
      <c r="F15" s="396"/>
      <c r="G15" s="396"/>
      <c r="H15" s="396"/>
      <c r="I15" s="396"/>
      <c r="J15" s="396"/>
      <c r="K15" s="396"/>
      <c r="L15" s="396"/>
      <c r="M15" s="396"/>
      <c r="N15" s="396"/>
      <c r="O15" s="396"/>
      <c r="P15" s="396"/>
      <c r="Q15" s="396"/>
      <c r="R15" s="396"/>
      <c r="S15" s="397"/>
    </row>
    <row r="16" spans="1:19" x14ac:dyDescent="0.25">
      <c r="A16" s="122" t="s">
        <v>155</v>
      </c>
      <c r="B16" s="110">
        <f t="shared" ref="B16:N16" si="3">B4/B$11</f>
        <v>0.23581649047641223</v>
      </c>
      <c r="C16" s="110">
        <f t="shared" si="3"/>
        <v>0.22614688196743463</v>
      </c>
      <c r="D16" s="110">
        <f t="shared" si="3"/>
        <v>0.19722207496156496</v>
      </c>
      <c r="E16" s="110">
        <f t="shared" si="3"/>
        <v>0.1498672761191181</v>
      </c>
      <c r="F16" s="110">
        <f t="shared" si="3"/>
        <v>0.14299030528103807</v>
      </c>
      <c r="G16" s="110">
        <f t="shared" si="3"/>
        <v>0.15903112645956441</v>
      </c>
      <c r="H16" s="110">
        <f t="shared" si="3"/>
        <v>0.16508979686468941</v>
      </c>
      <c r="I16" s="110">
        <f t="shared" si="3"/>
        <v>0.16842952973765402</v>
      </c>
      <c r="J16" s="110">
        <f t="shared" si="3"/>
        <v>0.12851776779681701</v>
      </c>
      <c r="K16" s="110">
        <f t="shared" si="3"/>
        <v>0.12726132292581083</v>
      </c>
      <c r="L16" s="110">
        <f t="shared" si="3"/>
        <v>0.16133558733605305</v>
      </c>
      <c r="M16" s="110">
        <f t="shared" si="3"/>
        <v>0.12971765415691677</v>
      </c>
      <c r="N16" s="261">
        <f t="shared" si="3"/>
        <v>0.12836135733559165</v>
      </c>
      <c r="O16" s="110">
        <v>0.13980486627618716</v>
      </c>
      <c r="P16" s="110">
        <v>0.13980486627618716</v>
      </c>
      <c r="Q16" s="110">
        <v>0.13980486627618716</v>
      </c>
      <c r="R16" s="110">
        <v>0.13980486627618716</v>
      </c>
      <c r="S16" s="111">
        <v>0.13980486627618716</v>
      </c>
    </row>
    <row r="17" spans="1:21" x14ac:dyDescent="0.25">
      <c r="A17" s="122" t="s">
        <v>154</v>
      </c>
      <c r="B17" s="110">
        <f t="shared" ref="B17:N17" si="4">B5/B$11</f>
        <v>3.6810762352722022E-2</v>
      </c>
      <c r="C17" s="110">
        <f t="shared" si="4"/>
        <v>4.0218904128099454E-2</v>
      </c>
      <c r="D17" s="110">
        <f t="shared" si="4"/>
        <v>5.0368446164448924E-2</v>
      </c>
      <c r="E17" s="110">
        <f t="shared" si="4"/>
        <v>7.2671096734458068E-2</v>
      </c>
      <c r="F17" s="110">
        <f t="shared" si="4"/>
        <v>9.2204911892040248E-2</v>
      </c>
      <c r="G17" s="110">
        <f t="shared" si="4"/>
        <v>0.11105678030294762</v>
      </c>
      <c r="H17" s="110">
        <f t="shared" si="4"/>
        <v>0.11460469761552318</v>
      </c>
      <c r="I17" s="110">
        <f t="shared" si="4"/>
        <v>6.8212977176698691E-2</v>
      </c>
      <c r="J17" s="110">
        <f t="shared" si="4"/>
        <v>0.13487393332202291</v>
      </c>
      <c r="K17" s="110">
        <f t="shared" si="4"/>
        <v>0.11331822819046715</v>
      </c>
      <c r="L17" s="110">
        <f t="shared" si="4"/>
        <v>0.12404474538136093</v>
      </c>
      <c r="M17" s="110">
        <f t="shared" si="4"/>
        <v>0.1132522360192742</v>
      </c>
      <c r="N17" s="111">
        <f t="shared" si="4"/>
        <v>0.1010751326745493</v>
      </c>
      <c r="O17" s="110">
        <v>0.11279070469172814</v>
      </c>
      <c r="P17" s="110">
        <v>0.11279070469172814</v>
      </c>
      <c r="Q17" s="110">
        <v>0.11279070469172814</v>
      </c>
      <c r="R17" s="110">
        <v>0.11279070469172814</v>
      </c>
      <c r="S17" s="111">
        <v>0.11279070469172814</v>
      </c>
    </row>
    <row r="18" spans="1:21" x14ac:dyDescent="0.25">
      <c r="A18" s="122" t="s">
        <v>108</v>
      </c>
      <c r="B18" s="110">
        <f t="shared" ref="B18:N18" si="5">B6/B$11</f>
        <v>0.53759954361290918</v>
      </c>
      <c r="C18" s="110">
        <f t="shared" si="5"/>
        <v>0.56399702722789002</v>
      </c>
      <c r="D18" s="110">
        <f t="shared" si="5"/>
        <v>0.56349997349308167</v>
      </c>
      <c r="E18" s="110">
        <f t="shared" si="5"/>
        <v>0.58568261813443412</v>
      </c>
      <c r="F18" s="110">
        <f t="shared" si="5"/>
        <v>0.56908321733131906</v>
      </c>
      <c r="G18" s="110">
        <f t="shared" si="5"/>
        <v>0.53077828155049456</v>
      </c>
      <c r="H18" s="110">
        <f t="shared" si="5"/>
        <v>0.52487917105098891</v>
      </c>
      <c r="I18" s="110">
        <f t="shared" si="5"/>
        <v>0.49539151105324863</v>
      </c>
      <c r="J18" s="110">
        <f t="shared" si="5"/>
        <v>0.49838975155741683</v>
      </c>
      <c r="K18" s="110">
        <f t="shared" si="5"/>
        <v>0.51445615554342927</v>
      </c>
      <c r="L18" s="110">
        <f t="shared" si="5"/>
        <v>0.4838782354666723</v>
      </c>
      <c r="M18" s="110">
        <f t="shared" si="5"/>
        <v>0.51301524923020059</v>
      </c>
      <c r="N18" s="111">
        <f t="shared" si="5"/>
        <v>0.50725335314542896</v>
      </c>
      <c r="O18" s="110">
        <v>0.50138227928076728</v>
      </c>
      <c r="P18" s="110">
        <v>0.50138227928076728</v>
      </c>
      <c r="Q18" s="110">
        <v>0.50138227928076728</v>
      </c>
      <c r="R18" s="110">
        <v>0.50138227928076728</v>
      </c>
      <c r="S18" s="111">
        <v>0.50138227928076728</v>
      </c>
    </row>
    <row r="19" spans="1:21" x14ac:dyDescent="0.25">
      <c r="A19" s="122" t="s">
        <v>153</v>
      </c>
      <c r="B19" s="110">
        <f t="shared" ref="B19:N19" si="6">B7/B$11</f>
        <v>3.9511828808270852E-2</v>
      </c>
      <c r="C19" s="110">
        <f t="shared" si="6"/>
        <v>1.3855820552665361E-2</v>
      </c>
      <c r="D19" s="110">
        <f t="shared" si="6"/>
        <v>0</v>
      </c>
      <c r="E19" s="110">
        <f t="shared" si="6"/>
        <v>0</v>
      </c>
      <c r="F19" s="110">
        <f t="shared" si="6"/>
        <v>0</v>
      </c>
      <c r="G19" s="110">
        <f t="shared" si="6"/>
        <v>0</v>
      </c>
      <c r="H19" s="110">
        <f t="shared" si="6"/>
        <v>0</v>
      </c>
      <c r="I19" s="110">
        <f t="shared" si="6"/>
        <v>0</v>
      </c>
      <c r="J19" s="110">
        <f t="shared" si="6"/>
        <v>0</v>
      </c>
      <c r="K19" s="110">
        <f t="shared" si="6"/>
        <v>0</v>
      </c>
      <c r="L19" s="110">
        <f t="shared" si="6"/>
        <v>0</v>
      </c>
      <c r="M19" s="110">
        <f t="shared" si="6"/>
        <v>0</v>
      </c>
      <c r="N19" s="111">
        <f t="shared" si="6"/>
        <v>0</v>
      </c>
      <c r="O19" s="110">
        <v>0</v>
      </c>
      <c r="P19" s="110">
        <v>0</v>
      </c>
      <c r="Q19" s="110">
        <v>0</v>
      </c>
      <c r="R19" s="110">
        <v>0</v>
      </c>
      <c r="S19" s="111">
        <v>0</v>
      </c>
    </row>
    <row r="20" spans="1:21" x14ac:dyDescent="0.25">
      <c r="A20" s="122" t="s">
        <v>152</v>
      </c>
      <c r="B20" s="110">
        <f t="shared" ref="B20:N20" si="7">B8/B$11</f>
        <v>0.10824640245890188</v>
      </c>
      <c r="C20" s="110">
        <f t="shared" si="7"/>
        <v>0.10345246942774138</v>
      </c>
      <c r="D20" s="110">
        <f t="shared" si="7"/>
        <v>0.17410009012352223</v>
      </c>
      <c r="E20" s="110">
        <f t="shared" si="7"/>
        <v>0.18270848338470075</v>
      </c>
      <c r="F20" s="110">
        <f t="shared" si="7"/>
        <v>0.19021280909488758</v>
      </c>
      <c r="G20" s="110">
        <f t="shared" si="7"/>
        <v>0.19496004138843351</v>
      </c>
      <c r="H20" s="110">
        <f t="shared" si="7"/>
        <v>0.18367783702805371</v>
      </c>
      <c r="I20" s="110">
        <f t="shared" si="7"/>
        <v>0.22987388997920835</v>
      </c>
      <c r="J20" s="110">
        <f t="shared" si="7"/>
        <v>0.18101603402654379</v>
      </c>
      <c r="K20" s="110">
        <f t="shared" si="7"/>
        <v>0.20401581294929891</v>
      </c>
      <c r="L20" s="110">
        <f t="shared" si="7"/>
        <v>0.1438998279256421</v>
      </c>
      <c r="M20" s="110">
        <f t="shared" si="7"/>
        <v>0.16679847697939681</v>
      </c>
      <c r="N20" s="111">
        <f t="shared" si="7"/>
        <v>0.18797203532254578</v>
      </c>
      <c r="O20" s="110">
        <v>0.16622344674252823</v>
      </c>
      <c r="P20" s="110">
        <v>0.16622344674252823</v>
      </c>
      <c r="Q20" s="110">
        <v>0.16622344674252823</v>
      </c>
      <c r="R20" s="110">
        <v>0.16622344674252823</v>
      </c>
      <c r="S20" s="111">
        <v>0.16622344674252823</v>
      </c>
    </row>
    <row r="21" spans="1:21" x14ac:dyDescent="0.25">
      <c r="A21" s="122" t="s">
        <v>151</v>
      </c>
      <c r="B21" s="110">
        <f t="shared" ref="B21:N21" si="8">B9/B$11</f>
        <v>0</v>
      </c>
      <c r="C21" s="110">
        <f t="shared" si="8"/>
        <v>0</v>
      </c>
      <c r="D21" s="110">
        <f t="shared" si="8"/>
        <v>0</v>
      </c>
      <c r="E21" s="110">
        <f t="shared" si="8"/>
        <v>0</v>
      </c>
      <c r="F21" s="110">
        <f t="shared" si="8"/>
        <v>0</v>
      </c>
      <c r="G21" s="110">
        <f t="shared" si="8"/>
        <v>0</v>
      </c>
      <c r="H21" s="110">
        <f t="shared" si="8"/>
        <v>0</v>
      </c>
      <c r="I21" s="110">
        <f t="shared" si="8"/>
        <v>7.6128048846312449E-3</v>
      </c>
      <c r="J21" s="110">
        <f t="shared" si="8"/>
        <v>7.3398755257118873E-3</v>
      </c>
      <c r="K21" s="110">
        <f t="shared" si="8"/>
        <v>5.8749911029917674E-3</v>
      </c>
      <c r="L21" s="110">
        <f t="shared" si="8"/>
        <v>8.0109837270277706E-3</v>
      </c>
      <c r="M21" s="110">
        <f t="shared" si="8"/>
        <v>7.6015143238402734E-3</v>
      </c>
      <c r="N21" s="111">
        <f t="shared" si="8"/>
        <v>9.9629837111606685E-3</v>
      </c>
      <c r="O21" s="110">
        <v>8.5251605873429056E-3</v>
      </c>
      <c r="P21" s="110">
        <v>8.5251605873429056E-3</v>
      </c>
      <c r="Q21" s="110">
        <v>8.5251605873429056E-3</v>
      </c>
      <c r="R21" s="110">
        <v>8.5251605873429056E-3</v>
      </c>
      <c r="S21" s="111">
        <v>8.5251605873429056E-3</v>
      </c>
    </row>
    <row r="22" spans="1:21" x14ac:dyDescent="0.25">
      <c r="A22" s="122" t="s">
        <v>111</v>
      </c>
      <c r="B22" s="110">
        <f t="shared" ref="B22:N22" si="9">B10/B$11</f>
        <v>4.2014972290783777E-2</v>
      </c>
      <c r="C22" s="110">
        <f t="shared" si="9"/>
        <v>5.2328896696169178E-2</v>
      </c>
      <c r="D22" s="110">
        <f t="shared" si="9"/>
        <v>1.4809415257382177E-2</v>
      </c>
      <c r="E22" s="110">
        <f t="shared" si="9"/>
        <v>9.0705256272889459E-3</v>
      </c>
      <c r="F22" s="110">
        <f t="shared" si="9"/>
        <v>5.5087564007150506E-3</v>
      </c>
      <c r="G22" s="110">
        <f t="shared" si="9"/>
        <v>4.1737702985599184E-3</v>
      </c>
      <c r="H22" s="110">
        <f t="shared" si="9"/>
        <v>1.1748497440744771E-2</v>
      </c>
      <c r="I22" s="110">
        <f t="shared" si="9"/>
        <v>3.0479287168559074E-2</v>
      </c>
      <c r="J22" s="110">
        <f t="shared" si="9"/>
        <v>4.986263777148759E-2</v>
      </c>
      <c r="K22" s="110">
        <f t="shared" si="9"/>
        <v>3.5073489288002087E-2</v>
      </c>
      <c r="L22" s="110">
        <f t="shared" si="9"/>
        <v>7.8830620163243825E-2</v>
      </c>
      <c r="M22" s="110">
        <f t="shared" si="9"/>
        <v>6.961486929037132E-2</v>
      </c>
      <c r="N22" s="111">
        <f t="shared" si="9"/>
        <v>6.5375137810723613E-2</v>
      </c>
      <c r="O22" s="110">
        <v>7.1273542421446248E-2</v>
      </c>
      <c r="P22" s="110">
        <v>7.1273542421446248E-2</v>
      </c>
      <c r="Q22" s="110">
        <v>7.1273542421446248E-2</v>
      </c>
      <c r="R22" s="110">
        <v>7.1273542421446248E-2</v>
      </c>
      <c r="S22" s="111">
        <v>7.1273542421446248E-2</v>
      </c>
    </row>
    <row r="23" spans="1:21" x14ac:dyDescent="0.25">
      <c r="A23" s="257" t="s">
        <v>150</v>
      </c>
      <c r="B23" s="258">
        <f t="shared" ref="B23:S23" si="10">SUM(B16:B22)</f>
        <v>0.99999999999999989</v>
      </c>
      <c r="C23" s="258">
        <f t="shared" si="10"/>
        <v>0.99999999999999989</v>
      </c>
      <c r="D23" s="258">
        <f t="shared" si="10"/>
        <v>1</v>
      </c>
      <c r="E23" s="258">
        <f t="shared" si="10"/>
        <v>1</v>
      </c>
      <c r="F23" s="258">
        <f t="shared" si="10"/>
        <v>1</v>
      </c>
      <c r="G23" s="258">
        <f t="shared" si="10"/>
        <v>1</v>
      </c>
      <c r="H23" s="258">
        <f t="shared" si="10"/>
        <v>1</v>
      </c>
      <c r="I23" s="258">
        <f t="shared" si="10"/>
        <v>1</v>
      </c>
      <c r="J23" s="258">
        <f t="shared" si="10"/>
        <v>1</v>
      </c>
      <c r="K23" s="258">
        <f t="shared" si="10"/>
        <v>1</v>
      </c>
      <c r="L23" s="258">
        <f t="shared" si="10"/>
        <v>0.99999999999999989</v>
      </c>
      <c r="M23" s="258">
        <f t="shared" si="10"/>
        <v>0.99999999999999989</v>
      </c>
      <c r="N23" s="259">
        <f t="shared" si="10"/>
        <v>1</v>
      </c>
      <c r="O23" s="258">
        <f t="shared" si="10"/>
        <v>0.99999999999999989</v>
      </c>
      <c r="P23" s="258">
        <f t="shared" si="10"/>
        <v>0.99999999999999989</v>
      </c>
      <c r="Q23" s="258">
        <f t="shared" si="10"/>
        <v>0.99999999999999989</v>
      </c>
      <c r="R23" s="258">
        <f t="shared" si="10"/>
        <v>0.99999999999999989</v>
      </c>
      <c r="S23" s="259">
        <f t="shared" si="10"/>
        <v>0.99999999999999989</v>
      </c>
    </row>
    <row r="26" spans="1:21" x14ac:dyDescent="0.25">
      <c r="A26" s="395" t="s">
        <v>300</v>
      </c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6"/>
      <c r="Q26" s="396"/>
      <c r="R26" s="396"/>
      <c r="S26" s="397"/>
    </row>
    <row r="27" spans="1:21" x14ac:dyDescent="0.25">
      <c r="A27" s="122" t="s">
        <v>149</v>
      </c>
      <c r="B27" s="265">
        <f t="shared" ref="B27:N27" si="11">(B76+B82)*0.8</f>
        <v>27991.200000000001</v>
      </c>
      <c r="C27" s="265">
        <f t="shared" si="11"/>
        <v>30612.800000000003</v>
      </c>
      <c r="D27" s="265">
        <f t="shared" si="11"/>
        <v>28629.600000000002</v>
      </c>
      <c r="E27" s="265">
        <f t="shared" si="11"/>
        <v>36442.400000000001</v>
      </c>
      <c r="F27" s="265">
        <f t="shared" si="11"/>
        <v>37265.599999999999</v>
      </c>
      <c r="G27" s="265">
        <f t="shared" si="11"/>
        <v>39578.400000000001</v>
      </c>
      <c r="H27" s="265">
        <f t="shared" si="11"/>
        <v>39789.600000000006</v>
      </c>
      <c r="I27" s="265">
        <f t="shared" si="11"/>
        <v>40124</v>
      </c>
      <c r="J27" s="265">
        <f t="shared" si="11"/>
        <v>48972.800000000003</v>
      </c>
      <c r="K27" s="265">
        <f t="shared" si="11"/>
        <v>56470.0211528</v>
      </c>
      <c r="L27" s="265">
        <f t="shared" si="11"/>
        <v>58904.800000000003</v>
      </c>
      <c r="M27" s="265">
        <f t="shared" si="11"/>
        <v>0</v>
      </c>
      <c r="N27" s="262">
        <f t="shared" si="11"/>
        <v>0</v>
      </c>
      <c r="O27" s="265"/>
      <c r="P27" s="265"/>
      <c r="Q27" s="265"/>
      <c r="R27" s="265"/>
      <c r="S27" s="262"/>
    </row>
    <row r="28" spans="1:21" x14ac:dyDescent="0.25">
      <c r="A28" s="122" t="s">
        <v>146</v>
      </c>
      <c r="B28" s="265">
        <f t="shared" ref="B28:N28" si="12">(B81+B75)*0.5</f>
        <v>15327.5</v>
      </c>
      <c r="C28" s="265">
        <f t="shared" si="12"/>
        <v>20993.5</v>
      </c>
      <c r="D28" s="265">
        <f t="shared" si="12"/>
        <v>24472.5</v>
      </c>
      <c r="E28" s="265">
        <f t="shared" si="12"/>
        <v>24017</v>
      </c>
      <c r="F28" s="265">
        <f t="shared" si="12"/>
        <v>22957</v>
      </c>
      <c r="G28" s="265">
        <f t="shared" si="12"/>
        <v>24033.5</v>
      </c>
      <c r="H28" s="265">
        <f t="shared" si="12"/>
        <v>25012</v>
      </c>
      <c r="I28" s="265">
        <f t="shared" si="12"/>
        <v>27910.5</v>
      </c>
      <c r="J28" s="265">
        <f t="shared" si="12"/>
        <v>27903.5</v>
      </c>
      <c r="K28" s="265">
        <f t="shared" si="12"/>
        <v>27708.81</v>
      </c>
      <c r="L28" s="265">
        <f t="shared" si="12"/>
        <v>29994.5</v>
      </c>
      <c r="M28" s="265">
        <f t="shared" si="12"/>
        <v>44142</v>
      </c>
      <c r="N28" s="262">
        <f t="shared" si="12"/>
        <v>69504.5</v>
      </c>
      <c r="O28" s="265"/>
      <c r="P28" s="265"/>
      <c r="Q28" s="265"/>
      <c r="R28" s="265"/>
      <c r="S28" s="262"/>
    </row>
    <row r="29" spans="1:21" x14ac:dyDescent="0.25">
      <c r="A29" s="122" t="s">
        <v>137</v>
      </c>
      <c r="B29" s="265">
        <f t="shared" ref="B29:N29" si="13">B73+B79</f>
        <v>166538</v>
      </c>
      <c r="C29" s="265">
        <f t="shared" si="13"/>
        <v>173512</v>
      </c>
      <c r="D29" s="265">
        <f t="shared" si="13"/>
        <v>174125</v>
      </c>
      <c r="E29" s="265">
        <f t="shared" si="13"/>
        <v>177275</v>
      </c>
      <c r="F29" s="265">
        <f t="shared" si="13"/>
        <v>169175</v>
      </c>
      <c r="G29" s="265">
        <f t="shared" si="13"/>
        <v>173279</v>
      </c>
      <c r="H29" s="265">
        <f t="shared" si="13"/>
        <v>165257</v>
      </c>
      <c r="I29" s="265">
        <f t="shared" si="13"/>
        <v>161428</v>
      </c>
      <c r="J29" s="265">
        <f t="shared" si="13"/>
        <v>166066</v>
      </c>
      <c r="K29" s="265">
        <f t="shared" si="13"/>
        <v>185758.81805599999</v>
      </c>
      <c r="L29" s="265">
        <f t="shared" si="13"/>
        <v>180930</v>
      </c>
      <c r="M29" s="265">
        <f t="shared" si="13"/>
        <v>299296</v>
      </c>
      <c r="N29" s="262">
        <f t="shared" si="13"/>
        <v>250272</v>
      </c>
      <c r="O29" s="265"/>
      <c r="P29" s="265"/>
      <c r="Q29" s="265"/>
      <c r="R29" s="265"/>
      <c r="S29" s="262"/>
      <c r="U29" s="172"/>
    </row>
    <row r="30" spans="1:21" x14ac:dyDescent="0.25">
      <c r="A30" s="132" t="s">
        <v>148</v>
      </c>
      <c r="B30" s="244">
        <f t="shared" ref="B30:N30" si="14">SUM(B27:B29)</f>
        <v>209856.7</v>
      </c>
      <c r="C30" s="244">
        <f t="shared" si="14"/>
        <v>225118.3</v>
      </c>
      <c r="D30" s="244">
        <f t="shared" si="14"/>
        <v>227227.1</v>
      </c>
      <c r="E30" s="244">
        <f t="shared" si="14"/>
        <v>237734.39999999999</v>
      </c>
      <c r="F30" s="244">
        <f t="shared" si="14"/>
        <v>229397.6</v>
      </c>
      <c r="G30" s="244">
        <f t="shared" si="14"/>
        <v>236890.9</v>
      </c>
      <c r="H30" s="244">
        <f t="shared" si="14"/>
        <v>230058.6</v>
      </c>
      <c r="I30" s="244">
        <f t="shared" si="14"/>
        <v>229462.5</v>
      </c>
      <c r="J30" s="244">
        <f t="shared" si="14"/>
        <v>242942.3</v>
      </c>
      <c r="K30" s="244">
        <f t="shared" si="14"/>
        <v>269937.64920879999</v>
      </c>
      <c r="L30" s="244">
        <f t="shared" si="14"/>
        <v>269829.3</v>
      </c>
      <c r="M30" s="244">
        <f t="shared" si="14"/>
        <v>343438</v>
      </c>
      <c r="N30" s="263">
        <f t="shared" si="14"/>
        <v>319776.5</v>
      </c>
      <c r="O30" s="244">
        <f>O35*O38</f>
        <v>365855.52600000001</v>
      </c>
      <c r="P30" s="244">
        <f>P35*P38</f>
        <v>384148.30229999998</v>
      </c>
      <c r="Q30" s="244">
        <f>Q35*Q38</f>
        <v>403355.71741499996</v>
      </c>
      <c r="R30" s="244">
        <f>R35*R38</f>
        <v>423523.50328574999</v>
      </c>
      <c r="S30" s="263">
        <f>S35*S38</f>
        <v>444699.67845003749</v>
      </c>
      <c r="U30" s="172"/>
    </row>
    <row r="31" spans="1:21" x14ac:dyDescent="0.25">
      <c r="A31" s="132" t="s">
        <v>140</v>
      </c>
      <c r="B31" s="244">
        <f t="shared" ref="B31:N31" si="15">B74+B80</f>
        <v>111386</v>
      </c>
      <c r="C31" s="244">
        <f t="shared" si="15"/>
        <v>116261</v>
      </c>
      <c r="D31" s="244">
        <f t="shared" si="15"/>
        <v>118400</v>
      </c>
      <c r="E31" s="244">
        <f t="shared" si="15"/>
        <v>122059</v>
      </c>
      <c r="F31" s="244">
        <f t="shared" si="15"/>
        <v>142775</v>
      </c>
      <c r="G31" s="244">
        <f t="shared" si="15"/>
        <v>187280</v>
      </c>
      <c r="H31" s="244">
        <f t="shared" si="15"/>
        <v>183550</v>
      </c>
      <c r="I31" s="244">
        <f t="shared" si="15"/>
        <v>195763</v>
      </c>
      <c r="J31" s="244">
        <f t="shared" si="15"/>
        <v>388857</v>
      </c>
      <c r="K31" s="244">
        <f t="shared" si="15"/>
        <v>362619.55550300004</v>
      </c>
      <c r="L31" s="244">
        <f t="shared" si="15"/>
        <v>346793</v>
      </c>
      <c r="M31" s="244">
        <f t="shared" si="15"/>
        <v>348327</v>
      </c>
      <c r="N31" s="263">
        <f t="shared" si="15"/>
        <v>447917</v>
      </c>
      <c r="O31" s="244">
        <f>O35*O39</f>
        <v>519899.95799999998</v>
      </c>
      <c r="P31" s="244">
        <f>P35*P39</f>
        <v>545894.95590000006</v>
      </c>
      <c r="Q31" s="244">
        <f>Q35*Q39</f>
        <v>573189.70369500003</v>
      </c>
      <c r="R31" s="244">
        <f>R35*R39</f>
        <v>601849.18887974997</v>
      </c>
      <c r="S31" s="263">
        <f>S35*S39</f>
        <v>631941.64832373755</v>
      </c>
      <c r="U31" s="172"/>
    </row>
    <row r="32" spans="1:21" x14ac:dyDescent="0.25">
      <c r="A32" s="122" t="s">
        <v>147</v>
      </c>
      <c r="B32" s="265">
        <f t="shared" ref="B32:N32" si="16">(B76+B82)*0.2</f>
        <v>6997.8</v>
      </c>
      <c r="C32" s="265">
        <f t="shared" si="16"/>
        <v>7653.2000000000007</v>
      </c>
      <c r="D32" s="265">
        <f t="shared" si="16"/>
        <v>7157.4000000000005</v>
      </c>
      <c r="E32" s="265">
        <f t="shared" si="16"/>
        <v>9110.6</v>
      </c>
      <c r="F32" s="265">
        <f t="shared" si="16"/>
        <v>9316.4</v>
      </c>
      <c r="G32" s="265">
        <f t="shared" si="16"/>
        <v>9894.6</v>
      </c>
      <c r="H32" s="265">
        <f t="shared" si="16"/>
        <v>9947.4000000000015</v>
      </c>
      <c r="I32" s="265">
        <f t="shared" si="16"/>
        <v>10031</v>
      </c>
      <c r="J32" s="265">
        <f t="shared" si="16"/>
        <v>12243.2</v>
      </c>
      <c r="K32" s="265">
        <f t="shared" si="16"/>
        <v>14117.5052882</v>
      </c>
      <c r="L32" s="265">
        <f t="shared" si="16"/>
        <v>14726.2</v>
      </c>
      <c r="M32" s="265">
        <f t="shared" si="16"/>
        <v>0</v>
      </c>
      <c r="N32" s="262">
        <f t="shared" si="16"/>
        <v>0</v>
      </c>
      <c r="O32" s="265"/>
      <c r="P32" s="265"/>
      <c r="Q32" s="265"/>
      <c r="R32" s="265"/>
      <c r="S32" s="262"/>
      <c r="U32" s="172"/>
    </row>
    <row r="33" spans="1:20" x14ac:dyDescent="0.25">
      <c r="A33" s="122" t="s">
        <v>146</v>
      </c>
      <c r="B33" s="265">
        <f t="shared" ref="B33:N33" si="17">(B81+B75)*0.5</f>
        <v>15327.5</v>
      </c>
      <c r="C33" s="265">
        <f t="shared" si="17"/>
        <v>20993.5</v>
      </c>
      <c r="D33" s="265">
        <f t="shared" si="17"/>
        <v>24472.5</v>
      </c>
      <c r="E33" s="265">
        <f t="shared" si="17"/>
        <v>24017</v>
      </c>
      <c r="F33" s="265">
        <f t="shared" si="17"/>
        <v>22957</v>
      </c>
      <c r="G33" s="265">
        <f t="shared" si="17"/>
        <v>24033.5</v>
      </c>
      <c r="H33" s="265">
        <f t="shared" si="17"/>
        <v>25012</v>
      </c>
      <c r="I33" s="265">
        <f t="shared" si="17"/>
        <v>27910.5</v>
      </c>
      <c r="J33" s="265">
        <f t="shared" si="17"/>
        <v>27903.5</v>
      </c>
      <c r="K33" s="265">
        <f t="shared" si="17"/>
        <v>27708.81</v>
      </c>
      <c r="L33" s="265">
        <f t="shared" si="17"/>
        <v>29994.5</v>
      </c>
      <c r="M33" s="265">
        <f t="shared" si="17"/>
        <v>44142</v>
      </c>
      <c r="N33" s="262">
        <f t="shared" si="17"/>
        <v>69504.5</v>
      </c>
      <c r="O33" s="265"/>
      <c r="P33" s="265"/>
      <c r="Q33" s="265"/>
      <c r="R33" s="265"/>
      <c r="S33" s="262"/>
      <c r="T33" s="172"/>
    </row>
    <row r="34" spans="1:20" x14ac:dyDescent="0.25">
      <c r="A34" s="132" t="s">
        <v>145</v>
      </c>
      <c r="B34" s="244">
        <f t="shared" ref="B34:N34" si="18">SUM(B32:B33)</f>
        <v>22325.3</v>
      </c>
      <c r="C34" s="244">
        <f t="shared" si="18"/>
        <v>28646.7</v>
      </c>
      <c r="D34" s="244">
        <f t="shared" si="18"/>
        <v>31629.9</v>
      </c>
      <c r="E34" s="244">
        <f t="shared" si="18"/>
        <v>33127.599999999999</v>
      </c>
      <c r="F34" s="244">
        <f t="shared" si="18"/>
        <v>32273.4</v>
      </c>
      <c r="G34" s="244">
        <f t="shared" si="18"/>
        <v>33928.1</v>
      </c>
      <c r="H34" s="244">
        <f t="shared" si="18"/>
        <v>34959.4</v>
      </c>
      <c r="I34" s="244">
        <f t="shared" si="18"/>
        <v>37941.5</v>
      </c>
      <c r="J34" s="244">
        <f t="shared" si="18"/>
        <v>40146.699999999997</v>
      </c>
      <c r="K34" s="244">
        <f t="shared" si="18"/>
        <v>41826.315288199999</v>
      </c>
      <c r="L34" s="244">
        <f t="shared" si="18"/>
        <v>44720.7</v>
      </c>
      <c r="M34" s="244">
        <f t="shared" si="18"/>
        <v>44142</v>
      </c>
      <c r="N34" s="263">
        <f t="shared" si="18"/>
        <v>69504.5</v>
      </c>
      <c r="O34" s="244">
        <f>O35*O40</f>
        <v>77022.216</v>
      </c>
      <c r="P34" s="244">
        <f>P35*P40</f>
        <v>80873.326799999995</v>
      </c>
      <c r="Q34" s="244">
        <f>Q35*Q40</f>
        <v>84916.993139999991</v>
      </c>
      <c r="R34" s="244">
        <f>R35*R40</f>
        <v>89162.842797000005</v>
      </c>
      <c r="S34" s="263">
        <f>S35*S40</f>
        <v>93620.98493685</v>
      </c>
      <c r="T34" s="172"/>
    </row>
    <row r="35" spans="1:20" x14ac:dyDescent="0.25">
      <c r="A35" s="132" t="s">
        <v>144</v>
      </c>
      <c r="B35" s="248">
        <f t="shared" ref="B35:N35" si="19">SUM(B34,B31,B30)</f>
        <v>343568</v>
      </c>
      <c r="C35" s="248">
        <f t="shared" si="19"/>
        <v>370026</v>
      </c>
      <c r="D35" s="248">
        <f t="shared" si="19"/>
        <v>377257</v>
      </c>
      <c r="E35" s="248">
        <f t="shared" si="19"/>
        <v>392921</v>
      </c>
      <c r="F35" s="248">
        <f t="shared" si="19"/>
        <v>404446</v>
      </c>
      <c r="G35" s="248">
        <f t="shared" si="19"/>
        <v>458099</v>
      </c>
      <c r="H35" s="248">
        <f t="shared" si="19"/>
        <v>448568</v>
      </c>
      <c r="I35" s="248">
        <f t="shared" si="19"/>
        <v>463167</v>
      </c>
      <c r="J35" s="248">
        <f t="shared" si="19"/>
        <v>671946</v>
      </c>
      <c r="K35" s="248">
        <f t="shared" si="19"/>
        <v>674383.52</v>
      </c>
      <c r="L35" s="248">
        <f t="shared" si="19"/>
        <v>661343</v>
      </c>
      <c r="M35" s="248">
        <f t="shared" si="19"/>
        <v>735907</v>
      </c>
      <c r="N35" s="264">
        <f t="shared" si="19"/>
        <v>837198</v>
      </c>
      <c r="O35" s="248">
        <f>N35*(1+O12)</f>
        <v>962777.7</v>
      </c>
      <c r="P35" s="248">
        <f>O35*(1+P12)</f>
        <v>1010916.585</v>
      </c>
      <c r="Q35" s="248">
        <f>P35*(1+Q12)</f>
        <v>1061462.4142499999</v>
      </c>
      <c r="R35" s="248">
        <f>Q35*(1+R12)</f>
        <v>1114535.5349625</v>
      </c>
      <c r="S35" s="264">
        <f>R35*(1+S12)</f>
        <v>1170262.311710625</v>
      </c>
      <c r="T35" s="172"/>
    </row>
    <row r="36" spans="1:20" x14ac:dyDescent="0.25">
      <c r="A36" s="217" t="s">
        <v>143</v>
      </c>
      <c r="B36" s="197"/>
      <c r="C36" s="266">
        <f t="shared" ref="C36:N36" si="20">C35-B35</f>
        <v>26458</v>
      </c>
      <c r="D36" s="266">
        <f t="shared" si="20"/>
        <v>7231</v>
      </c>
      <c r="E36" s="266">
        <f t="shared" si="20"/>
        <v>15664</v>
      </c>
      <c r="F36" s="266">
        <f t="shared" si="20"/>
        <v>11525</v>
      </c>
      <c r="G36" s="266">
        <f t="shared" si="20"/>
        <v>53653</v>
      </c>
      <c r="H36" s="266">
        <f t="shared" si="20"/>
        <v>-9531</v>
      </c>
      <c r="I36" s="266">
        <f t="shared" si="20"/>
        <v>14599</v>
      </c>
      <c r="J36" s="266">
        <f t="shared" si="20"/>
        <v>208779</v>
      </c>
      <c r="K36" s="266">
        <f t="shared" si="20"/>
        <v>2437.5200000000186</v>
      </c>
      <c r="L36" s="266">
        <f t="shared" si="20"/>
        <v>-13040.520000000019</v>
      </c>
      <c r="M36" s="266">
        <f t="shared" si="20"/>
        <v>74564</v>
      </c>
      <c r="N36" s="267">
        <f t="shared" si="20"/>
        <v>101291</v>
      </c>
      <c r="O36" s="266">
        <f>O35-N35</f>
        <v>125579.69999999995</v>
      </c>
      <c r="P36" s="266">
        <f>P35-O35</f>
        <v>48138.885000000009</v>
      </c>
      <c r="Q36" s="266">
        <f t="shared" ref="Q36:R36" si="21">Q35-P35</f>
        <v>50545.829249999952</v>
      </c>
      <c r="R36" s="266">
        <f t="shared" si="21"/>
        <v>53073.120712500066</v>
      </c>
      <c r="S36" s="267">
        <f>S35-R35</f>
        <v>55726.776748124976</v>
      </c>
    </row>
    <row r="37" spans="1:20" x14ac:dyDescent="0.25">
      <c r="A37" s="395" t="s">
        <v>142</v>
      </c>
      <c r="B37" s="396"/>
      <c r="C37" s="396"/>
      <c r="D37" s="396"/>
      <c r="E37" s="396"/>
      <c r="F37" s="396"/>
      <c r="G37" s="396"/>
      <c r="H37" s="396"/>
      <c r="I37" s="396"/>
      <c r="J37" s="396"/>
      <c r="K37" s="396"/>
      <c r="L37" s="396"/>
      <c r="M37" s="396"/>
      <c r="N37" s="396"/>
      <c r="O37" s="396"/>
      <c r="P37" s="396"/>
      <c r="Q37" s="396"/>
      <c r="R37" s="396"/>
      <c r="S37" s="397"/>
    </row>
    <row r="38" spans="1:20" x14ac:dyDescent="0.25">
      <c r="A38" s="122" t="s">
        <v>137</v>
      </c>
      <c r="B38" s="181">
        <f t="shared" ref="B38:N38" si="22">B30/B$35</f>
        <v>0.61081561728682532</v>
      </c>
      <c r="C38" s="181">
        <f t="shared" si="22"/>
        <v>0.60838508645338429</v>
      </c>
      <c r="D38" s="181">
        <f t="shared" si="22"/>
        <v>0.60231380729847295</v>
      </c>
      <c r="E38" s="181">
        <f t="shared" si="22"/>
        <v>0.60504376197759857</v>
      </c>
      <c r="F38" s="181">
        <f t="shared" si="22"/>
        <v>0.56718968663307345</v>
      </c>
      <c r="G38" s="181">
        <f t="shared" si="22"/>
        <v>0.51711726067946007</v>
      </c>
      <c r="H38" s="181">
        <f t="shared" si="22"/>
        <v>0.51287341049740509</v>
      </c>
      <c r="I38" s="181">
        <f t="shared" si="22"/>
        <v>0.4954206582075148</v>
      </c>
      <c r="J38" s="181">
        <f t="shared" si="22"/>
        <v>0.36155033291365674</v>
      </c>
      <c r="K38" s="181">
        <f t="shared" si="22"/>
        <v>0.40027319945303524</v>
      </c>
      <c r="L38" s="181">
        <f t="shared" si="22"/>
        <v>0.4080020503732556</v>
      </c>
      <c r="M38" s="181">
        <f t="shared" si="22"/>
        <v>0.46668668731239138</v>
      </c>
      <c r="N38" s="182">
        <f t="shared" si="22"/>
        <v>0.38196042035456368</v>
      </c>
      <c r="O38" s="181">
        <v>0.38</v>
      </c>
      <c r="P38" s="181">
        <v>0.38</v>
      </c>
      <c r="Q38" s="181">
        <v>0.38</v>
      </c>
      <c r="R38" s="181">
        <v>0.38</v>
      </c>
      <c r="S38" s="182">
        <v>0.38</v>
      </c>
    </row>
    <row r="39" spans="1:20" x14ac:dyDescent="0.25">
      <c r="A39" s="122" t="s">
        <v>136</v>
      </c>
      <c r="B39" s="181">
        <f t="shared" ref="B39:N39" si="23">B31/B$35</f>
        <v>0.32420365109672611</v>
      </c>
      <c r="C39" s="181">
        <f t="shared" si="23"/>
        <v>0.31419684022203848</v>
      </c>
      <c r="D39" s="181">
        <f t="shared" si="23"/>
        <v>0.31384440845365363</v>
      </c>
      <c r="E39" s="181">
        <f t="shared" si="23"/>
        <v>0.31064514240776137</v>
      </c>
      <c r="F39" s="181">
        <f t="shared" si="23"/>
        <v>0.35301375214490932</v>
      </c>
      <c r="G39" s="181">
        <f t="shared" si="23"/>
        <v>0.40881992757024138</v>
      </c>
      <c r="H39" s="181">
        <f t="shared" si="23"/>
        <v>0.40919102566389043</v>
      </c>
      <c r="I39" s="181">
        <f t="shared" si="23"/>
        <v>0.42266180448952539</v>
      </c>
      <c r="J39" s="181">
        <f t="shared" si="23"/>
        <v>0.57870275289978657</v>
      </c>
      <c r="K39" s="181">
        <f t="shared" si="23"/>
        <v>0.53770524449203627</v>
      </c>
      <c r="L39" s="181">
        <f t="shared" si="23"/>
        <v>0.52437691182941382</v>
      </c>
      <c r="M39" s="181">
        <f t="shared" si="23"/>
        <v>0.4733301898201811</v>
      </c>
      <c r="N39" s="182">
        <f t="shared" si="23"/>
        <v>0.53501919498135442</v>
      </c>
      <c r="O39" s="181">
        <v>0.54</v>
      </c>
      <c r="P39" s="181">
        <v>0.54</v>
      </c>
      <c r="Q39" s="181">
        <v>0.54</v>
      </c>
      <c r="R39" s="181">
        <v>0.54</v>
      </c>
      <c r="S39" s="182">
        <v>0.54</v>
      </c>
    </row>
    <row r="40" spans="1:20" x14ac:dyDescent="0.25">
      <c r="A40" s="167" t="s">
        <v>50</v>
      </c>
      <c r="B40" s="268">
        <f t="shared" ref="B40:N40" si="24">B34/B$35</f>
        <v>6.4980731616448559E-2</v>
      </c>
      <c r="C40" s="268">
        <f t="shared" si="24"/>
        <v>7.7418073324577188E-2</v>
      </c>
      <c r="D40" s="268">
        <f t="shared" si="24"/>
        <v>8.3841784247873474E-2</v>
      </c>
      <c r="E40" s="268">
        <f t="shared" si="24"/>
        <v>8.4311095614640091E-2</v>
      </c>
      <c r="F40" s="268">
        <f t="shared" si="24"/>
        <v>7.9796561222017282E-2</v>
      </c>
      <c r="G40" s="268">
        <f t="shared" si="24"/>
        <v>7.406281175029851E-2</v>
      </c>
      <c r="H40" s="268">
        <f t="shared" si="24"/>
        <v>7.7935563838704508E-2</v>
      </c>
      <c r="I40" s="268">
        <f t="shared" si="24"/>
        <v>8.1917537302959836E-2</v>
      </c>
      <c r="J40" s="268">
        <f t="shared" si="24"/>
        <v>5.974691418655665E-2</v>
      </c>
      <c r="K40" s="268">
        <f t="shared" si="24"/>
        <v>6.2021556054928505E-2</v>
      </c>
      <c r="L40" s="268">
        <f t="shared" si="24"/>
        <v>6.7621037797330585E-2</v>
      </c>
      <c r="M40" s="268">
        <f t="shared" si="24"/>
        <v>5.9983122867427539E-2</v>
      </c>
      <c r="N40" s="269">
        <f t="shared" si="24"/>
        <v>8.3020384664081848E-2</v>
      </c>
      <c r="O40" s="268">
        <v>0.08</v>
      </c>
      <c r="P40" s="268">
        <v>0.08</v>
      </c>
      <c r="Q40" s="268">
        <v>0.08</v>
      </c>
      <c r="R40" s="268">
        <v>0.08</v>
      </c>
      <c r="S40" s="269">
        <v>0.08</v>
      </c>
    </row>
    <row r="43" spans="1:20" x14ac:dyDescent="0.25">
      <c r="A43" s="392" t="s">
        <v>301</v>
      </c>
      <c r="B43" s="393"/>
      <c r="C43" s="393"/>
      <c r="D43" s="393"/>
      <c r="E43" s="393"/>
      <c r="F43" s="393"/>
      <c r="G43" s="393"/>
      <c r="H43" s="393"/>
      <c r="I43" s="393"/>
      <c r="J43" s="393"/>
      <c r="K43" s="393"/>
      <c r="L43" s="393"/>
      <c r="M43" s="393"/>
      <c r="N43" s="393"/>
      <c r="O43" s="393"/>
      <c r="P43" s="393"/>
      <c r="Q43" s="393"/>
      <c r="R43" s="393"/>
      <c r="S43" s="394"/>
    </row>
    <row r="44" spans="1:20" x14ac:dyDescent="0.25">
      <c r="A44" s="122" t="s">
        <v>268</v>
      </c>
      <c r="C44" s="194">
        <f>'▲ PPE'!P138/C36</f>
        <v>5.0752069317408726</v>
      </c>
      <c r="D44" s="194">
        <f>'▲ PPE'!Q138/D36</f>
        <v>11.298867376573089</v>
      </c>
      <c r="E44" s="194">
        <f>'▲ PPE'!R138/E36</f>
        <v>5.6486034856996943</v>
      </c>
      <c r="F44" s="194">
        <f>'▲ PPE'!S138/F36</f>
        <v>-2.4384603036876347</v>
      </c>
      <c r="G44" s="194">
        <f>'▲ PPE'!T138/G36</f>
        <v>0.55273852347492203</v>
      </c>
      <c r="H44" s="194">
        <f>'▲ PPE'!U138/H36</f>
        <v>-14.887315601720701</v>
      </c>
      <c r="I44" s="194">
        <f>'▲ PPE'!V138/I36</f>
        <v>9.402286115487362</v>
      </c>
      <c r="J44" s="194">
        <f>'▲ PPE'!W138/J36</f>
        <v>0.30398308737947777</v>
      </c>
      <c r="K44" s="194">
        <f>'▲ PPE'!X138/K36</f>
        <v>95.831258820439714</v>
      </c>
      <c r="L44" s="194">
        <f>'▲ PPE'!Y138/L36</f>
        <v>-26.8923516853622</v>
      </c>
      <c r="M44" s="194">
        <f>'▲ PPE'!Z138/M36</f>
        <v>9.5471306528619717</v>
      </c>
      <c r="N44" s="272">
        <f>'▲ PPE'!AA138/N36</f>
        <v>7.4544874668035659</v>
      </c>
      <c r="O44" s="250">
        <f>DCF!B15</f>
        <v>7.2</v>
      </c>
      <c r="P44" s="250">
        <f>DCF!C15</f>
        <v>7.2</v>
      </c>
      <c r="Q44" s="250">
        <f>DCF!D15</f>
        <v>7.2</v>
      </c>
      <c r="R44" s="250">
        <f>DCF!E15</f>
        <v>7.2</v>
      </c>
      <c r="S44" s="270">
        <f>DCF!F15</f>
        <v>7.2</v>
      </c>
    </row>
    <row r="45" spans="1:20" x14ac:dyDescent="0.25">
      <c r="A45" s="122" t="s">
        <v>229</v>
      </c>
      <c r="B45" s="194">
        <f>MEDIAN(C44:E44,I44:J44,M44:N44,G44)</f>
        <v>6.5515454762516301</v>
      </c>
      <c r="N45" s="124"/>
      <c r="S45" s="124"/>
    </row>
    <row r="46" spans="1:20" x14ac:dyDescent="0.25">
      <c r="A46" s="119" t="s">
        <v>302</v>
      </c>
      <c r="B46" s="271">
        <f>('▲ PPE'!AB138/'Planted Area'!O44)/N35</f>
        <v>0.22369546325295145</v>
      </c>
      <c r="N46" s="124"/>
      <c r="S46" s="124"/>
    </row>
    <row r="47" spans="1:20" x14ac:dyDescent="0.25">
      <c r="A47" s="167"/>
      <c r="B47" s="197"/>
      <c r="C47" s="197"/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8"/>
      <c r="O47" s="197"/>
      <c r="P47" s="197"/>
      <c r="Q47" s="197"/>
      <c r="R47" s="197"/>
      <c r="S47" s="198"/>
    </row>
    <row r="50" spans="1:20" x14ac:dyDescent="0.25">
      <c r="A50" s="392" t="s">
        <v>303</v>
      </c>
      <c r="B50" s="393"/>
      <c r="C50" s="393"/>
      <c r="D50" s="393"/>
      <c r="E50" s="393"/>
      <c r="F50" s="393"/>
      <c r="G50" s="393"/>
      <c r="H50" s="393"/>
      <c r="I50" s="393"/>
      <c r="J50" s="393"/>
      <c r="K50" s="393"/>
      <c r="L50" s="393"/>
      <c r="M50" s="393"/>
      <c r="N50" s="393"/>
      <c r="O50" s="393"/>
      <c r="P50" s="393"/>
      <c r="Q50" s="393"/>
      <c r="R50" s="393"/>
      <c r="S50" s="394"/>
      <c r="T50" s="181"/>
    </row>
    <row r="51" spans="1:20" x14ac:dyDescent="0.25">
      <c r="A51" s="122" t="s">
        <v>140</v>
      </c>
      <c r="B51" s="106">
        <f t="shared" ref="B51:S51" si="25">B31</f>
        <v>111386</v>
      </c>
      <c r="C51" s="106">
        <f t="shared" si="25"/>
        <v>116261</v>
      </c>
      <c r="D51" s="106">
        <f t="shared" si="25"/>
        <v>118400</v>
      </c>
      <c r="E51" s="106">
        <f t="shared" si="25"/>
        <v>122059</v>
      </c>
      <c r="F51" s="106">
        <f t="shared" si="25"/>
        <v>142775</v>
      </c>
      <c r="G51" s="106">
        <f t="shared" si="25"/>
        <v>187280</v>
      </c>
      <c r="H51" s="106">
        <f t="shared" si="25"/>
        <v>183550</v>
      </c>
      <c r="I51" s="106">
        <f t="shared" si="25"/>
        <v>195763</v>
      </c>
      <c r="J51" s="106">
        <f t="shared" si="25"/>
        <v>388857</v>
      </c>
      <c r="K51" s="106">
        <f t="shared" si="25"/>
        <v>362619.55550300004</v>
      </c>
      <c r="L51" s="106">
        <f t="shared" si="25"/>
        <v>346793</v>
      </c>
      <c r="M51" s="106">
        <f t="shared" si="25"/>
        <v>348327</v>
      </c>
      <c r="N51" s="274">
        <f t="shared" si="25"/>
        <v>447917</v>
      </c>
      <c r="O51" s="201">
        <f t="shared" si="25"/>
        <v>519899.95799999998</v>
      </c>
      <c r="P51" s="201">
        <f t="shared" si="25"/>
        <v>545894.95590000006</v>
      </c>
      <c r="Q51" s="201">
        <f t="shared" si="25"/>
        <v>573189.70369500003</v>
      </c>
      <c r="R51" s="201">
        <f t="shared" si="25"/>
        <v>601849.18887974997</v>
      </c>
      <c r="S51" s="203">
        <f t="shared" si="25"/>
        <v>631941.64832373755</v>
      </c>
    </row>
    <row r="52" spans="1:20" x14ac:dyDescent="0.25">
      <c r="A52" s="122" t="s">
        <v>269</v>
      </c>
      <c r="B52" s="106">
        <f>'Income Statement'!B55</f>
        <v>0</v>
      </c>
      <c r="C52" s="106">
        <f>'Income Statement'!C55</f>
        <v>0</v>
      </c>
      <c r="D52" s="106">
        <f>'Income Statement'!D55</f>
        <v>0</v>
      </c>
      <c r="E52" s="106">
        <f>'Income Statement'!E55</f>
        <v>0</v>
      </c>
      <c r="F52" s="106">
        <f>'Income Statement'!F55</f>
        <v>0</v>
      </c>
      <c r="G52" s="106">
        <f>'Income Statement'!G55</f>
        <v>0</v>
      </c>
      <c r="H52" s="106">
        <f>'Income Statement'!H55</f>
        <v>-47607</v>
      </c>
      <c r="I52" s="106">
        <f>'Income Statement'!I55</f>
        <v>-61106</v>
      </c>
      <c r="J52" s="106">
        <f>'Income Statement'!J55</f>
        <v>-175149</v>
      </c>
      <c r="K52" s="106">
        <f>'Income Statement'!K55</f>
        <v>-280423</v>
      </c>
      <c r="L52" s="106">
        <f>'Income Statement'!L55</f>
        <v>-283004</v>
      </c>
      <c r="M52" s="106">
        <f>'Income Statement'!M55</f>
        <v>-305778</v>
      </c>
      <c r="N52" s="107">
        <f>'Income Statement'!N55</f>
        <v>-331963</v>
      </c>
      <c r="O52" s="201">
        <f>O51*O54</f>
        <v>-415919.96640000003</v>
      </c>
      <c r="P52" s="201">
        <f>P51*P54</f>
        <v>-436715.96472000005</v>
      </c>
      <c r="Q52" s="201">
        <f>Q51*Q54</f>
        <v>-458551.76295600005</v>
      </c>
      <c r="R52" s="201">
        <f>R51*R54</f>
        <v>-481479.3511038</v>
      </c>
      <c r="S52" s="203">
        <f>S51*S54</f>
        <v>-505553.31865899009</v>
      </c>
    </row>
    <row r="53" spans="1:20" x14ac:dyDescent="0.25">
      <c r="A53" s="122"/>
      <c r="N53" s="124"/>
      <c r="S53" s="124"/>
      <c r="T53" s="250"/>
    </row>
    <row r="54" spans="1:20" x14ac:dyDescent="0.25">
      <c r="A54" s="122" t="s">
        <v>270</v>
      </c>
      <c r="B54" s="273">
        <f t="shared" ref="B54:N54" si="26">B52/B51</f>
        <v>0</v>
      </c>
      <c r="C54" s="273">
        <f t="shared" si="26"/>
        <v>0</v>
      </c>
      <c r="D54" s="273">
        <f t="shared" si="26"/>
        <v>0</v>
      </c>
      <c r="E54" s="273">
        <f t="shared" si="26"/>
        <v>0</v>
      </c>
      <c r="F54" s="273">
        <f t="shared" si="26"/>
        <v>0</v>
      </c>
      <c r="G54" s="273">
        <f t="shared" si="26"/>
        <v>0</v>
      </c>
      <c r="H54" s="273">
        <f t="shared" si="26"/>
        <v>-0.2593680196131844</v>
      </c>
      <c r="I54" s="273">
        <f t="shared" si="26"/>
        <v>-0.31214274403232478</v>
      </c>
      <c r="J54" s="273">
        <f t="shared" si="26"/>
        <v>-0.45042007730348177</v>
      </c>
      <c r="K54" s="273">
        <f t="shared" si="26"/>
        <v>-0.77332564045261476</v>
      </c>
      <c r="L54" s="273">
        <f t="shared" si="26"/>
        <v>-0.81606030110181005</v>
      </c>
      <c r="M54" s="273">
        <f t="shared" si="26"/>
        <v>-0.87784753981172858</v>
      </c>
      <c r="N54" s="275">
        <f t="shared" si="26"/>
        <v>-0.741126146138682</v>
      </c>
      <c r="O54" s="118">
        <f>$B$55</f>
        <v>-0.8</v>
      </c>
      <c r="P54" s="118">
        <f>$B$55</f>
        <v>-0.8</v>
      </c>
      <c r="Q54" s="118">
        <f>$B$55</f>
        <v>-0.8</v>
      </c>
      <c r="R54" s="118">
        <f>$B$55</f>
        <v>-0.8</v>
      </c>
      <c r="S54" s="124">
        <f>$B$55</f>
        <v>-0.8</v>
      </c>
    </row>
    <row r="55" spans="1:20" x14ac:dyDescent="0.25">
      <c r="A55" s="212" t="s">
        <v>271</v>
      </c>
      <c r="B55" s="213">
        <v>-0.8</v>
      </c>
      <c r="C55" s="197"/>
      <c r="D55" s="197"/>
      <c r="E55" s="197"/>
      <c r="F55" s="197"/>
      <c r="G55" s="197"/>
      <c r="H55" s="197"/>
      <c r="I55" s="197"/>
      <c r="J55" s="197"/>
      <c r="K55" s="197"/>
      <c r="L55" s="197"/>
      <c r="M55" s="197"/>
      <c r="N55" s="198"/>
      <c r="O55" s="197"/>
      <c r="P55" s="197"/>
      <c r="Q55" s="197"/>
      <c r="R55" s="197"/>
      <c r="S55" s="198"/>
    </row>
    <row r="67" spans="1:18" x14ac:dyDescent="0.25"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</row>
    <row r="68" spans="1:18" x14ac:dyDescent="0.25"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</row>
    <row r="71" spans="1:18" x14ac:dyDescent="0.25">
      <c r="O71" s="171"/>
      <c r="P71" s="171"/>
      <c r="Q71" s="171"/>
      <c r="R71" s="171"/>
    </row>
    <row r="72" spans="1:18" x14ac:dyDescent="0.25">
      <c r="A72" s="202" t="s">
        <v>139</v>
      </c>
      <c r="B72" s="202"/>
      <c r="C72" s="202"/>
      <c r="D72" s="202"/>
      <c r="E72" s="202"/>
      <c r="F72" s="202"/>
      <c r="G72" s="202"/>
      <c r="H72" s="202"/>
      <c r="I72" s="202"/>
      <c r="J72" s="202"/>
      <c r="K72" s="202"/>
      <c r="L72" s="202"/>
      <c r="M72" s="202"/>
      <c r="N72" s="202"/>
    </row>
    <row r="73" spans="1:18" x14ac:dyDescent="0.25">
      <c r="A73" s="118" t="s">
        <v>137</v>
      </c>
      <c r="B73" s="247">
        <v>127881</v>
      </c>
      <c r="C73" s="247">
        <v>129929</v>
      </c>
      <c r="D73" s="247">
        <v>124807</v>
      </c>
      <c r="E73" s="247">
        <v>118552</v>
      </c>
      <c r="F73" s="247">
        <v>108516</v>
      </c>
      <c r="G73" s="247">
        <v>111279</v>
      </c>
      <c r="H73" s="103">
        <v>111101</v>
      </c>
      <c r="I73" s="247">
        <v>110273</v>
      </c>
      <c r="J73" s="247">
        <v>111825</v>
      </c>
      <c r="K73" s="103">
        <v>122131.77757899999</v>
      </c>
      <c r="L73" s="103">
        <v>128318</v>
      </c>
      <c r="M73" s="103">
        <v>211930</v>
      </c>
      <c r="N73" s="103">
        <v>174432</v>
      </c>
    </row>
    <row r="74" spans="1:18" x14ac:dyDescent="0.25">
      <c r="A74" s="118" t="s">
        <v>136</v>
      </c>
      <c r="B74" s="247">
        <v>94665</v>
      </c>
      <c r="C74" s="247">
        <v>100507</v>
      </c>
      <c r="D74" s="247">
        <v>93867</v>
      </c>
      <c r="E74" s="247">
        <v>97929</v>
      </c>
      <c r="F74" s="247">
        <v>106540</v>
      </c>
      <c r="G74" s="247">
        <v>130669</v>
      </c>
      <c r="H74" s="103">
        <v>129946</v>
      </c>
      <c r="I74" s="247">
        <v>135006</v>
      </c>
      <c r="J74" s="247">
        <v>250775</v>
      </c>
      <c r="K74" s="103">
        <v>231850.47568800004</v>
      </c>
      <c r="L74" s="103">
        <v>222519</v>
      </c>
      <c r="M74" s="103">
        <v>230637</v>
      </c>
      <c r="N74" s="103">
        <v>292505</v>
      </c>
    </row>
    <row r="75" spans="1:18" x14ac:dyDescent="0.25">
      <c r="A75" s="118" t="s">
        <v>135</v>
      </c>
      <c r="B75" s="247">
        <v>30655</v>
      </c>
      <c r="C75" s="247">
        <v>40534</v>
      </c>
      <c r="D75" s="247">
        <v>41375</v>
      </c>
      <c r="E75" s="247">
        <v>39523</v>
      </c>
      <c r="F75" s="247">
        <v>38879</v>
      </c>
      <c r="G75" s="247">
        <v>39551</v>
      </c>
      <c r="H75" s="103">
        <v>40148</v>
      </c>
      <c r="I75" s="247">
        <v>41594</v>
      </c>
      <c r="J75" s="247">
        <v>41316</v>
      </c>
      <c r="K75" s="103">
        <v>41669.020000000004</v>
      </c>
      <c r="L75" s="103">
        <v>41662</v>
      </c>
      <c r="M75" s="103">
        <v>48328</v>
      </c>
      <c r="N75" s="103">
        <v>90037</v>
      </c>
    </row>
    <row r="76" spans="1:18" x14ac:dyDescent="0.25">
      <c r="A76" s="118" t="s">
        <v>134</v>
      </c>
      <c r="B76" s="247">
        <v>29254</v>
      </c>
      <c r="C76" s="247">
        <v>30316</v>
      </c>
      <c r="D76" s="247">
        <v>30301</v>
      </c>
      <c r="E76" s="247">
        <v>35110</v>
      </c>
      <c r="F76" s="247">
        <v>34672</v>
      </c>
      <c r="G76" s="247">
        <v>34660</v>
      </c>
      <c r="H76" s="103">
        <v>32263</v>
      </c>
      <c r="I76" s="247">
        <v>35162</v>
      </c>
      <c r="J76" s="247">
        <v>44651</v>
      </c>
      <c r="K76" s="103">
        <v>49481.076733000002</v>
      </c>
      <c r="L76" s="103">
        <v>51297</v>
      </c>
      <c r="M76" s="103">
        <v>0</v>
      </c>
      <c r="N76" s="103">
        <v>0</v>
      </c>
    </row>
    <row r="77" spans="1:18" x14ac:dyDescent="0.25">
      <c r="A77" s="243" t="s">
        <v>138</v>
      </c>
      <c r="B77" s="244">
        <f t="shared" ref="B77:N77" si="27">SUM(B73:B76)</f>
        <v>282455</v>
      </c>
      <c r="C77" s="244">
        <f t="shared" si="27"/>
        <v>301286</v>
      </c>
      <c r="D77" s="244">
        <f t="shared" si="27"/>
        <v>290350</v>
      </c>
      <c r="E77" s="244">
        <f t="shared" si="27"/>
        <v>291114</v>
      </c>
      <c r="F77" s="244">
        <f t="shared" si="27"/>
        <v>288607</v>
      </c>
      <c r="G77" s="244">
        <f t="shared" si="27"/>
        <v>316159</v>
      </c>
      <c r="H77" s="244">
        <f t="shared" si="27"/>
        <v>313458</v>
      </c>
      <c r="I77" s="244">
        <f t="shared" si="27"/>
        <v>322035</v>
      </c>
      <c r="J77" s="244">
        <f t="shared" si="27"/>
        <v>448567</v>
      </c>
      <c r="K77" s="244">
        <f t="shared" si="27"/>
        <v>445132.35000000003</v>
      </c>
      <c r="L77" s="244">
        <f t="shared" si="27"/>
        <v>443796</v>
      </c>
      <c r="M77" s="244">
        <f t="shared" si="27"/>
        <v>490895</v>
      </c>
      <c r="N77" s="244">
        <f t="shared" si="27"/>
        <v>556974</v>
      </c>
    </row>
    <row r="78" spans="1:18" x14ac:dyDescent="0.25">
      <c r="B78" s="251"/>
      <c r="C78" s="251"/>
    </row>
    <row r="79" spans="1:18" x14ac:dyDescent="0.25">
      <c r="A79" s="118" t="s">
        <v>137</v>
      </c>
      <c r="B79" s="247">
        <v>38657</v>
      </c>
      <c r="C79" s="247">
        <v>43583</v>
      </c>
      <c r="D79" s="247">
        <v>49318</v>
      </c>
      <c r="E79" s="247">
        <v>58723</v>
      </c>
      <c r="F79" s="247">
        <v>60659</v>
      </c>
      <c r="G79" s="247">
        <v>62000</v>
      </c>
      <c r="H79" s="103">
        <v>54156</v>
      </c>
      <c r="I79" s="247">
        <v>51155</v>
      </c>
      <c r="J79" s="247">
        <v>54241</v>
      </c>
      <c r="K79" s="103">
        <v>63627.040477000002</v>
      </c>
      <c r="L79" s="103">
        <v>52612</v>
      </c>
      <c r="M79" s="103">
        <v>87366</v>
      </c>
      <c r="N79" s="103">
        <v>75840</v>
      </c>
    </row>
    <row r="80" spans="1:18" x14ac:dyDescent="0.25">
      <c r="A80" s="118" t="s">
        <v>136</v>
      </c>
      <c r="B80" s="247">
        <v>16721</v>
      </c>
      <c r="C80" s="247">
        <v>15754</v>
      </c>
      <c r="D80" s="247">
        <v>24533</v>
      </c>
      <c r="E80" s="247">
        <v>24130</v>
      </c>
      <c r="F80" s="247">
        <v>36235</v>
      </c>
      <c r="G80" s="247">
        <v>56611</v>
      </c>
      <c r="H80" s="103">
        <v>53604</v>
      </c>
      <c r="I80" s="247">
        <v>60757</v>
      </c>
      <c r="J80" s="247">
        <v>138082</v>
      </c>
      <c r="K80" s="103">
        <v>130769.07981499999</v>
      </c>
      <c r="L80" s="103">
        <v>124274</v>
      </c>
      <c r="M80" s="103">
        <v>117690</v>
      </c>
      <c r="N80" s="103">
        <v>155412</v>
      </c>
    </row>
    <row r="81" spans="1:14" x14ac:dyDescent="0.25">
      <c r="A81" s="118" t="s">
        <v>135</v>
      </c>
      <c r="B81" s="247"/>
      <c r="C81" s="247">
        <v>1453</v>
      </c>
      <c r="D81" s="247">
        <v>7570</v>
      </c>
      <c r="E81" s="247">
        <v>8511</v>
      </c>
      <c r="F81" s="247">
        <v>7035</v>
      </c>
      <c r="G81" s="247">
        <v>8516</v>
      </c>
      <c r="H81" s="103">
        <v>9876</v>
      </c>
      <c r="I81" s="247">
        <v>14227</v>
      </c>
      <c r="J81" s="247">
        <v>14491</v>
      </c>
      <c r="K81" s="103">
        <v>13748.6</v>
      </c>
      <c r="L81" s="103">
        <v>18327</v>
      </c>
      <c r="M81" s="103">
        <v>39956</v>
      </c>
      <c r="N81" s="103">
        <v>48972</v>
      </c>
    </row>
    <row r="82" spans="1:14" x14ac:dyDescent="0.25">
      <c r="A82" s="118" t="s">
        <v>134</v>
      </c>
      <c r="B82" s="247">
        <v>5735</v>
      </c>
      <c r="C82" s="247">
        <v>7950</v>
      </c>
      <c r="D82" s="247">
        <v>5486</v>
      </c>
      <c r="E82" s="247">
        <v>10443</v>
      </c>
      <c r="F82" s="247">
        <v>11910</v>
      </c>
      <c r="G82" s="247">
        <v>14813</v>
      </c>
      <c r="H82" s="103">
        <v>17474</v>
      </c>
      <c r="I82" s="247">
        <v>14993</v>
      </c>
      <c r="J82" s="247">
        <v>16565</v>
      </c>
      <c r="K82" s="103">
        <v>21106.449707999996</v>
      </c>
      <c r="L82" s="103">
        <v>22334</v>
      </c>
      <c r="M82" s="103">
        <v>0</v>
      </c>
      <c r="N82" s="103">
        <v>0</v>
      </c>
    </row>
    <row r="83" spans="1:14" x14ac:dyDescent="0.25">
      <c r="A83" s="243" t="s">
        <v>133</v>
      </c>
      <c r="B83" s="244">
        <f t="shared" ref="B83:N83" si="28">SUM(B79:B82)</f>
        <v>61113</v>
      </c>
      <c r="C83" s="244">
        <f t="shared" si="28"/>
        <v>68740</v>
      </c>
      <c r="D83" s="244">
        <f t="shared" si="28"/>
        <v>86907</v>
      </c>
      <c r="E83" s="244">
        <f t="shared" si="28"/>
        <v>101807</v>
      </c>
      <c r="F83" s="244">
        <f t="shared" si="28"/>
        <v>115839</v>
      </c>
      <c r="G83" s="244">
        <f t="shared" si="28"/>
        <v>141940</v>
      </c>
      <c r="H83" s="244">
        <f t="shared" si="28"/>
        <v>135110</v>
      </c>
      <c r="I83" s="244">
        <f t="shared" si="28"/>
        <v>141132</v>
      </c>
      <c r="J83" s="244">
        <f t="shared" si="28"/>
        <v>223379</v>
      </c>
      <c r="K83" s="244">
        <f t="shared" si="28"/>
        <v>229251.17</v>
      </c>
      <c r="L83" s="244">
        <f t="shared" si="28"/>
        <v>217547</v>
      </c>
      <c r="M83" s="244">
        <f t="shared" si="28"/>
        <v>245012</v>
      </c>
      <c r="N83" s="244">
        <f t="shared" si="28"/>
        <v>280224</v>
      </c>
    </row>
    <row r="84" spans="1:14" x14ac:dyDescent="0.25"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</row>
    <row r="85" spans="1:14" x14ac:dyDescent="0.25">
      <c r="A85" s="243" t="s">
        <v>132</v>
      </c>
      <c r="B85" s="244">
        <f t="shared" ref="B85:N85" si="29">SUM(B83,B77)</f>
        <v>343568</v>
      </c>
      <c r="C85" s="244">
        <f t="shared" si="29"/>
        <v>370026</v>
      </c>
      <c r="D85" s="244">
        <f t="shared" si="29"/>
        <v>377257</v>
      </c>
      <c r="E85" s="244">
        <f t="shared" si="29"/>
        <v>392921</v>
      </c>
      <c r="F85" s="244">
        <f t="shared" si="29"/>
        <v>404446</v>
      </c>
      <c r="G85" s="244">
        <f t="shared" si="29"/>
        <v>458099</v>
      </c>
      <c r="H85" s="244">
        <f t="shared" si="29"/>
        <v>448568</v>
      </c>
      <c r="I85" s="244">
        <f t="shared" si="29"/>
        <v>463167</v>
      </c>
      <c r="J85" s="244">
        <f t="shared" si="29"/>
        <v>671946</v>
      </c>
      <c r="K85" s="244">
        <f t="shared" si="29"/>
        <v>674383.52</v>
      </c>
      <c r="L85" s="244">
        <f t="shared" si="29"/>
        <v>661343</v>
      </c>
      <c r="M85" s="244">
        <f t="shared" si="29"/>
        <v>735907</v>
      </c>
      <c r="N85" s="244">
        <f t="shared" si="29"/>
        <v>837198</v>
      </c>
    </row>
    <row r="86" spans="1:14" x14ac:dyDescent="0.25">
      <c r="A86" s="173"/>
      <c r="B86" s="252"/>
      <c r="C86" s="249">
        <f t="shared" ref="C86:N86" si="30">(C85-B85)/B85</f>
        <v>7.700950030270573E-2</v>
      </c>
      <c r="D86" s="249">
        <f t="shared" si="30"/>
        <v>1.9541870030754596E-2</v>
      </c>
      <c r="E86" s="249">
        <f t="shared" si="30"/>
        <v>4.1520767010287417E-2</v>
      </c>
      <c r="F86" s="249">
        <f t="shared" si="30"/>
        <v>2.9331595918772477E-2</v>
      </c>
      <c r="G86" s="249">
        <f t="shared" si="30"/>
        <v>0.13265800626041549</v>
      </c>
      <c r="H86" s="249">
        <f t="shared" si="30"/>
        <v>-2.0805546399359092E-2</v>
      </c>
      <c r="I86" s="249">
        <f t="shared" si="30"/>
        <v>3.2545790158905671E-2</v>
      </c>
      <c r="J86" s="249">
        <f t="shared" si="30"/>
        <v>0.45076397929904333</v>
      </c>
      <c r="K86" s="249">
        <f t="shared" si="30"/>
        <v>3.627553404589087E-3</v>
      </c>
      <c r="L86" s="249">
        <f t="shared" si="30"/>
        <v>-1.9336949396390971E-2</v>
      </c>
      <c r="M86" s="249">
        <f t="shared" si="30"/>
        <v>0.11274633586505035</v>
      </c>
      <c r="N86" s="249">
        <f t="shared" si="30"/>
        <v>0.13764103344580225</v>
      </c>
    </row>
    <row r="87" spans="1:14" x14ac:dyDescent="0.25">
      <c r="B87" s="246"/>
      <c r="C87" s="246"/>
      <c r="D87" s="246"/>
      <c r="E87" s="246"/>
      <c r="F87" s="246"/>
      <c r="G87" s="246"/>
      <c r="H87" s="246"/>
      <c r="I87" s="246"/>
      <c r="J87" s="246"/>
      <c r="K87" s="246"/>
      <c r="L87" s="246"/>
      <c r="M87" s="246"/>
    </row>
    <row r="108" spans="2:2" x14ac:dyDescent="0.25">
      <c r="B108" s="172"/>
    </row>
  </sheetData>
  <mergeCells count="6">
    <mergeCell ref="A50:S50"/>
    <mergeCell ref="A1:S1"/>
    <mergeCell ref="A15:S15"/>
    <mergeCell ref="A26:S26"/>
    <mergeCell ref="A37:S37"/>
    <mergeCell ref="A43:S4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7CD7-175B-45C6-841D-68D19A4B1FA5}">
  <sheetPr>
    <tabColor rgb="FF0D5D3F"/>
  </sheetPr>
  <dimension ref="A1:AQ72"/>
  <sheetViews>
    <sheetView topLeftCell="I1" zoomScaleNormal="100" workbookViewId="0">
      <pane ySplit="2" topLeftCell="A3" activePane="bottomLeft" state="frozen"/>
      <selection pane="bottomLeft" activeCell="E69" sqref="E69"/>
    </sheetView>
  </sheetViews>
  <sheetFormatPr defaultRowHeight="15" x14ac:dyDescent="0.25"/>
  <cols>
    <col min="1" max="1" width="32" style="118" bestFit="1" customWidth="1"/>
    <col min="2" max="2" width="10.140625" style="118" bestFit="1" customWidth="1"/>
    <col min="3" max="9" width="9.42578125" style="118" bestFit="1" customWidth="1"/>
    <col min="10" max="14" width="9.85546875" style="118" bestFit="1" customWidth="1"/>
    <col min="15" max="17" width="9.7109375" style="118" bestFit="1" customWidth="1"/>
    <col min="18" max="18" width="10.5703125" style="118" customWidth="1"/>
    <col min="19" max="19" width="11.140625" style="118" customWidth="1"/>
    <col min="20" max="24" width="9.140625" style="118"/>
    <col min="25" max="25" width="24.7109375" style="118" bestFit="1" customWidth="1"/>
    <col min="26" max="29" width="9.42578125" style="118" bestFit="1" customWidth="1"/>
    <col min="30" max="30" width="12.5703125" style="118" customWidth="1"/>
    <col min="31" max="43" width="9.42578125" style="118" bestFit="1" customWidth="1"/>
    <col min="44" max="16384" width="9.140625" style="118"/>
  </cols>
  <sheetData>
    <row r="1" spans="1:43" ht="21.75" customHeight="1" x14ac:dyDescent="0.25">
      <c r="A1" s="389" t="s">
        <v>259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1"/>
      <c r="Y1" s="389" t="s">
        <v>260</v>
      </c>
      <c r="Z1" s="390"/>
      <c r="AA1" s="390"/>
      <c r="AB1" s="390"/>
      <c r="AC1" s="390"/>
      <c r="AD1" s="390"/>
      <c r="AE1" s="390"/>
      <c r="AF1" s="390"/>
      <c r="AG1" s="390"/>
      <c r="AH1" s="390"/>
      <c r="AI1" s="390"/>
      <c r="AJ1" s="390"/>
      <c r="AK1" s="390"/>
      <c r="AL1" s="390"/>
      <c r="AM1" s="390"/>
      <c r="AN1" s="390"/>
      <c r="AO1" s="390"/>
      <c r="AP1" s="390"/>
      <c r="AQ1" s="391"/>
    </row>
    <row r="2" spans="1:43" x14ac:dyDescent="0.25">
      <c r="A2" s="122"/>
      <c r="B2" s="176">
        <v>2013</v>
      </c>
      <c r="C2" s="176">
        <f t="shared" ref="C2:Q2" si="0">B2+1</f>
        <v>2014</v>
      </c>
      <c r="D2" s="176">
        <f t="shared" si="0"/>
        <v>2015</v>
      </c>
      <c r="E2" s="176">
        <f t="shared" si="0"/>
        <v>2016</v>
      </c>
      <c r="F2" s="176">
        <f t="shared" si="0"/>
        <v>2017</v>
      </c>
      <c r="G2" s="176">
        <f t="shared" si="0"/>
        <v>2018</v>
      </c>
      <c r="H2" s="176">
        <f t="shared" si="0"/>
        <v>2019</v>
      </c>
      <c r="I2" s="176">
        <f t="shared" si="0"/>
        <v>2020</v>
      </c>
      <c r="J2" s="176">
        <f t="shared" si="0"/>
        <v>2021</v>
      </c>
      <c r="K2" s="176">
        <f t="shared" si="0"/>
        <v>2022</v>
      </c>
      <c r="L2" s="176">
        <f t="shared" si="0"/>
        <v>2023</v>
      </c>
      <c r="M2" s="176">
        <f t="shared" si="0"/>
        <v>2024</v>
      </c>
      <c r="N2" s="177">
        <f t="shared" si="0"/>
        <v>2025</v>
      </c>
      <c r="O2" s="176">
        <f t="shared" si="0"/>
        <v>2026</v>
      </c>
      <c r="P2" s="176">
        <f t="shared" si="0"/>
        <v>2027</v>
      </c>
      <c r="Q2" s="176">
        <f t="shared" si="0"/>
        <v>2028</v>
      </c>
      <c r="R2" s="176">
        <v>2029</v>
      </c>
      <c r="S2" s="177">
        <v>2030</v>
      </c>
      <c r="Y2" s="122"/>
      <c r="Z2" s="118">
        <v>2013</v>
      </c>
      <c r="AA2" s="118">
        <v>2014</v>
      </c>
      <c r="AB2" s="118">
        <v>2015</v>
      </c>
      <c r="AC2" s="118">
        <v>2016</v>
      </c>
      <c r="AD2" s="118">
        <v>2017</v>
      </c>
      <c r="AE2" s="118">
        <v>2018</v>
      </c>
      <c r="AF2" s="118">
        <v>2019</v>
      </c>
      <c r="AG2" s="118">
        <v>2020</v>
      </c>
      <c r="AH2" s="118">
        <v>2021</v>
      </c>
      <c r="AI2" s="118">
        <v>2022</v>
      </c>
      <c r="AJ2" s="118">
        <v>2023</v>
      </c>
      <c r="AK2" s="118">
        <v>2024</v>
      </c>
      <c r="AL2" s="124">
        <v>2025</v>
      </c>
      <c r="AM2" s="118">
        <v>2026</v>
      </c>
      <c r="AN2" s="118">
        <v>2027</v>
      </c>
      <c r="AO2" s="118">
        <v>2028</v>
      </c>
      <c r="AP2" s="118">
        <v>2029</v>
      </c>
      <c r="AQ2" s="124">
        <v>2030</v>
      </c>
    </row>
    <row r="3" spans="1:43" x14ac:dyDescent="0.25">
      <c r="A3" s="122"/>
      <c r="B3" s="118" t="s">
        <v>256</v>
      </c>
      <c r="C3" s="118" t="s">
        <v>256</v>
      </c>
      <c r="D3" s="118" t="s">
        <v>256</v>
      </c>
      <c r="E3" s="118" t="s">
        <v>256</v>
      </c>
      <c r="F3" s="118" t="s">
        <v>256</v>
      </c>
      <c r="G3" s="118" t="s">
        <v>256</v>
      </c>
      <c r="H3" s="118" t="s">
        <v>256</v>
      </c>
      <c r="I3" s="118" t="s">
        <v>256</v>
      </c>
      <c r="J3" s="118" t="s">
        <v>256</v>
      </c>
      <c r="K3" s="118" t="s">
        <v>256</v>
      </c>
      <c r="L3" s="118" t="s">
        <v>256</v>
      </c>
      <c r="M3" s="118" t="s">
        <v>256</v>
      </c>
      <c r="N3" s="124" t="s">
        <v>256</v>
      </c>
      <c r="O3" s="118" t="s">
        <v>257</v>
      </c>
      <c r="P3" s="118" t="s">
        <v>257</v>
      </c>
      <c r="Q3" s="118" t="s">
        <v>257</v>
      </c>
      <c r="R3" s="118" t="s">
        <v>257</v>
      </c>
      <c r="S3" s="124" t="s">
        <v>257</v>
      </c>
      <c r="Y3" s="122"/>
      <c r="Z3" s="118" t="s">
        <v>256</v>
      </c>
      <c r="AA3" s="118" t="s">
        <v>256</v>
      </c>
      <c r="AB3" s="118" t="s">
        <v>256</v>
      </c>
      <c r="AC3" s="118" t="s">
        <v>256</v>
      </c>
      <c r="AD3" s="118" t="s">
        <v>256</v>
      </c>
      <c r="AE3" s="118" t="s">
        <v>256</v>
      </c>
      <c r="AF3" s="118" t="s">
        <v>256</v>
      </c>
      <c r="AG3" s="118" t="s">
        <v>256</v>
      </c>
      <c r="AH3" s="118" t="s">
        <v>256</v>
      </c>
      <c r="AI3" s="118" t="s">
        <v>256</v>
      </c>
      <c r="AJ3" s="118" t="s">
        <v>256</v>
      </c>
      <c r="AK3" s="118" t="s">
        <v>256</v>
      </c>
      <c r="AL3" s="124" t="s">
        <v>256</v>
      </c>
      <c r="AM3" s="118" t="s">
        <v>257</v>
      </c>
      <c r="AN3" s="118" t="s">
        <v>257</v>
      </c>
      <c r="AO3" s="118" t="s">
        <v>257</v>
      </c>
      <c r="AP3" s="118" t="s">
        <v>257</v>
      </c>
      <c r="AQ3" s="124" t="s">
        <v>257</v>
      </c>
    </row>
    <row r="4" spans="1:43" ht="16.5" customHeight="1" x14ac:dyDescent="0.25">
      <c r="A4" s="404" t="s">
        <v>113</v>
      </c>
      <c r="B4" s="405"/>
      <c r="C4" s="405"/>
      <c r="D4" s="405"/>
      <c r="E4" s="405"/>
      <c r="F4" s="405"/>
      <c r="G4" s="405"/>
      <c r="H4" s="405"/>
      <c r="I4" s="405"/>
      <c r="J4" s="405"/>
      <c r="K4" s="405"/>
      <c r="L4" s="405"/>
      <c r="M4" s="405"/>
      <c r="N4" s="406"/>
      <c r="Q4" s="106"/>
      <c r="R4" s="201"/>
      <c r="S4" s="203"/>
      <c r="Y4" s="217" t="s">
        <v>112</v>
      </c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7"/>
      <c r="AK4" s="197"/>
      <c r="AL4" s="198"/>
      <c r="AM4" s="197"/>
      <c r="AN4" s="197"/>
      <c r="AO4" s="197"/>
      <c r="AP4" s="197"/>
      <c r="AQ4" s="198"/>
    </row>
    <row r="5" spans="1:43" x14ac:dyDescent="0.25">
      <c r="A5" s="122" t="s">
        <v>81</v>
      </c>
      <c r="B5" s="204">
        <v>137437</v>
      </c>
      <c r="C5" s="204">
        <v>152796</v>
      </c>
      <c r="D5" s="204">
        <v>158183</v>
      </c>
      <c r="E5" s="204">
        <v>148429</v>
      </c>
      <c r="F5" s="204">
        <v>141126</v>
      </c>
      <c r="G5" s="204">
        <v>169673</v>
      </c>
      <c r="H5" s="204">
        <v>185374</v>
      </c>
      <c r="I5" s="204">
        <v>215965</v>
      </c>
      <c r="J5" s="204">
        <v>255993</v>
      </c>
      <c r="K5" s="204">
        <v>277222</v>
      </c>
      <c r="L5" s="204">
        <v>239303</v>
      </c>
      <c r="M5" s="204">
        <v>364238</v>
      </c>
      <c r="N5" s="205">
        <v>369328</v>
      </c>
      <c r="O5" s="204">
        <f>'Planted Area'!N4*'Income by Crop'!AM5+'Planted Area'!O5*'Income by Crop'!AM6</f>
        <v>424197.15089416504</v>
      </c>
      <c r="P5" s="204">
        <f>'Planted Area'!O4*'Income by Crop'!AN5+'Planted Area'!P5*'Income by Crop'!AN6</f>
        <v>490879.94469528366</v>
      </c>
      <c r="Q5" s="204">
        <f>'Planted Area'!P4*'Income by Crop'!AO5+'Planted Area'!Q5*'Income by Crop'!AO6</f>
        <v>518001.06163969811</v>
      </c>
      <c r="R5" s="204">
        <f>'Planted Area'!Q4*'Income by Crop'!AP5+'Planted Area'!R5*'Income by Crop'!AP6</f>
        <v>546620.6202952913</v>
      </c>
      <c r="S5" s="205">
        <f>'Planted Area'!R4*'Income by Crop'!AQ5+'Planted Area'!R5*'Income by Crop'!AQ6</f>
        <v>564319.70381552889</v>
      </c>
      <c r="Y5" s="122" t="s">
        <v>110</v>
      </c>
      <c r="Z5" s="218">
        <v>1.758</v>
      </c>
      <c r="AA5" s="218">
        <v>1.522</v>
      </c>
      <c r="AB5" s="218">
        <v>1.25</v>
      </c>
      <c r="AC5" s="218">
        <v>1.619</v>
      </c>
      <c r="AD5" s="218">
        <v>1.929</v>
      </c>
      <c r="AE5" s="218">
        <v>1.6850000000000001</v>
      </c>
      <c r="AF5" s="218">
        <v>1.8420000000000001</v>
      </c>
      <c r="AG5" s="218">
        <v>1.913</v>
      </c>
      <c r="AH5" s="218">
        <v>1.6819999999999999</v>
      </c>
      <c r="AI5" s="218">
        <v>2.0190000000000001</v>
      </c>
      <c r="AJ5" s="218">
        <v>1.9950000000000001</v>
      </c>
      <c r="AK5" s="218">
        <v>1.841</v>
      </c>
      <c r="AL5" s="219">
        <v>2.0659999999999998</v>
      </c>
      <c r="AM5" s="218">
        <f>Z13*(1+$Z$19)</f>
        <v>1.9771699999999999</v>
      </c>
      <c r="AN5" s="218">
        <f t="shared" ref="AN5:AQ7" si="1">AM5*(1+$Z$19)</f>
        <v>1.9870558499999997</v>
      </c>
      <c r="AO5" s="218">
        <f t="shared" si="1"/>
        <v>1.9969911292499996</v>
      </c>
      <c r="AP5" s="218">
        <f t="shared" si="1"/>
        <v>2.0069760848962495</v>
      </c>
      <c r="AQ5" s="219">
        <f t="shared" si="1"/>
        <v>2.0170109653207304</v>
      </c>
    </row>
    <row r="6" spans="1:43" x14ac:dyDescent="0.25">
      <c r="A6" s="122" t="s">
        <v>75</v>
      </c>
      <c r="B6" s="204">
        <v>553635</v>
      </c>
      <c r="C6" s="204">
        <v>652524</v>
      </c>
      <c r="D6" s="204">
        <v>812693</v>
      </c>
      <c r="E6" s="204">
        <v>749417</v>
      </c>
      <c r="F6" s="204">
        <v>745772</v>
      </c>
      <c r="G6" s="204">
        <v>1088621</v>
      </c>
      <c r="H6" s="204">
        <v>1212573</v>
      </c>
      <c r="I6" s="204">
        <v>1697671</v>
      </c>
      <c r="J6" s="204">
        <v>2383537</v>
      </c>
      <c r="K6" s="204">
        <v>2930972</v>
      </c>
      <c r="L6" s="204">
        <v>2189209</v>
      </c>
      <c r="M6" s="204">
        <v>3568362</v>
      </c>
      <c r="N6" s="205">
        <v>3344618</v>
      </c>
      <c r="O6" s="204"/>
      <c r="P6" s="204"/>
      <c r="Q6" s="204"/>
      <c r="R6" s="204"/>
      <c r="S6" s="205"/>
      <c r="Y6" s="122" t="s">
        <v>109</v>
      </c>
      <c r="Z6" s="218">
        <v>1.5449999999999999</v>
      </c>
      <c r="AA6" s="218">
        <v>1.671</v>
      </c>
      <c r="AB6" s="218">
        <v>1.389</v>
      </c>
      <c r="AC6" s="218">
        <v>1.57</v>
      </c>
      <c r="AD6" s="218">
        <v>1.6220000000000001</v>
      </c>
      <c r="AE6" s="218">
        <v>1.611</v>
      </c>
      <c r="AF6" s="218">
        <v>1.7490000000000001</v>
      </c>
      <c r="AG6" s="218">
        <v>1.6890000000000001</v>
      </c>
      <c r="AH6" s="218">
        <v>1.3049999999999999</v>
      </c>
      <c r="AI6" s="218">
        <v>1.863</v>
      </c>
      <c r="AJ6" s="218">
        <v>1.827</v>
      </c>
      <c r="AK6" s="218">
        <v>2.0110000000000001</v>
      </c>
      <c r="AL6" s="219">
        <v>1.982</v>
      </c>
      <c r="AM6" s="218">
        <f>Z14*(1+$Z$19)</f>
        <v>1.9497</v>
      </c>
      <c r="AN6" s="218">
        <f t="shared" si="1"/>
        <v>1.9594484999999997</v>
      </c>
      <c r="AO6" s="218">
        <f t="shared" si="1"/>
        <v>1.9692457424999994</v>
      </c>
      <c r="AP6" s="218">
        <f t="shared" si="1"/>
        <v>1.9790919712124992</v>
      </c>
      <c r="AQ6" s="219">
        <f t="shared" si="1"/>
        <v>1.9889874310685616</v>
      </c>
    </row>
    <row r="7" spans="1:43" x14ac:dyDescent="0.25">
      <c r="A7" s="122" t="s">
        <v>74</v>
      </c>
      <c r="B7" s="204"/>
      <c r="C7" s="204"/>
      <c r="D7" s="204">
        <v>-156717</v>
      </c>
      <c r="E7" s="204">
        <v>-40092</v>
      </c>
      <c r="F7" s="204">
        <v>46005</v>
      </c>
      <c r="G7" s="204">
        <v>-111011</v>
      </c>
      <c r="H7" s="204">
        <v>-61699</v>
      </c>
      <c r="I7" s="204">
        <v>-398374</v>
      </c>
      <c r="J7" s="204">
        <v>-561891</v>
      </c>
      <c r="K7" s="204">
        <v>-160865</v>
      </c>
      <c r="L7" s="204">
        <v>337690</v>
      </c>
      <c r="M7" s="204">
        <v>92514</v>
      </c>
      <c r="N7" s="205">
        <v>189964</v>
      </c>
      <c r="O7" s="204"/>
      <c r="P7" s="204"/>
      <c r="Q7" s="204"/>
      <c r="R7" s="204"/>
      <c r="S7" s="205"/>
      <c r="Y7" s="122" t="s">
        <v>108</v>
      </c>
      <c r="Z7" s="218">
        <v>2.9140000000000001</v>
      </c>
      <c r="AA7" s="218">
        <v>3.0819999999999999</v>
      </c>
      <c r="AB7" s="218">
        <v>2.58</v>
      </c>
      <c r="AC7" s="218">
        <v>3.077</v>
      </c>
      <c r="AD7" s="218">
        <v>3.6920000000000002</v>
      </c>
      <c r="AE7" s="218">
        <v>3.7389999999999999</v>
      </c>
      <c r="AF7" s="218">
        <v>3.6070000000000002</v>
      </c>
      <c r="AG7" s="218">
        <v>3.9849999999999999</v>
      </c>
      <c r="AH7" s="218">
        <v>3.9740000000000002</v>
      </c>
      <c r="AI7" s="218">
        <v>3.6669999999999998</v>
      </c>
      <c r="AJ7" s="218">
        <v>3.2639999999999998</v>
      </c>
      <c r="AK7" s="218">
        <v>3.9609999999999999</v>
      </c>
      <c r="AL7" s="219">
        <v>4.0359999999999996</v>
      </c>
      <c r="AM7" s="218">
        <f>Z15*(1+$Z$19)</f>
        <v>3.7724349999999993</v>
      </c>
      <c r="AN7" s="218">
        <f t="shared" si="1"/>
        <v>3.7912971749999991</v>
      </c>
      <c r="AO7" s="218">
        <f t="shared" si="1"/>
        <v>3.8102536608749986</v>
      </c>
      <c r="AP7" s="218">
        <f t="shared" si="1"/>
        <v>3.829304929179373</v>
      </c>
      <c r="AQ7" s="219">
        <f t="shared" si="1"/>
        <v>3.8484514538252697</v>
      </c>
    </row>
    <row r="8" spans="1:43" x14ac:dyDescent="0.25">
      <c r="A8" s="122" t="s">
        <v>73</v>
      </c>
      <c r="B8" s="204"/>
      <c r="C8" s="204"/>
      <c r="D8" s="204">
        <v>655976</v>
      </c>
      <c r="E8" s="204">
        <v>709325</v>
      </c>
      <c r="F8" s="204">
        <v>791777</v>
      </c>
      <c r="G8" s="204">
        <v>977610</v>
      </c>
      <c r="H8" s="204">
        <v>1150874</v>
      </c>
      <c r="I8" s="204">
        <v>1299297</v>
      </c>
      <c r="J8" s="204">
        <v>1821646</v>
      </c>
      <c r="K8" s="204">
        <v>2770107</v>
      </c>
      <c r="L8" s="204">
        <v>2526899</v>
      </c>
      <c r="M8" s="204">
        <v>3660876</v>
      </c>
      <c r="N8" s="205">
        <v>3534582</v>
      </c>
      <c r="O8" s="204"/>
      <c r="P8" s="204"/>
      <c r="Q8" s="204"/>
      <c r="R8" s="204"/>
      <c r="S8" s="205"/>
      <c r="Y8" s="122" t="s">
        <v>107</v>
      </c>
      <c r="Z8" s="218">
        <v>8.3450000000000006</v>
      </c>
      <c r="AA8" s="218">
        <v>5.7080000000000002</v>
      </c>
      <c r="AB8" s="218"/>
      <c r="AC8" s="218"/>
      <c r="AD8" s="218"/>
      <c r="AE8" s="218"/>
      <c r="AF8" s="218"/>
      <c r="AG8" s="218"/>
      <c r="AH8" s="218"/>
      <c r="AI8" s="218"/>
      <c r="AJ8" s="218"/>
      <c r="AK8" s="218"/>
      <c r="AL8" s="219"/>
      <c r="AM8" s="218"/>
      <c r="AN8" s="218"/>
      <c r="AO8" s="218"/>
      <c r="AP8" s="218"/>
      <c r="AQ8" s="219"/>
    </row>
    <row r="9" spans="1:43" x14ac:dyDescent="0.25">
      <c r="A9" s="122" t="s">
        <v>80</v>
      </c>
      <c r="B9" s="118">
        <v>4030</v>
      </c>
      <c r="C9" s="118">
        <v>4270</v>
      </c>
      <c r="D9" s="204">
        <v>4147</v>
      </c>
      <c r="E9" s="204">
        <v>4779</v>
      </c>
      <c r="F9" s="204">
        <v>5610</v>
      </c>
      <c r="G9" s="204">
        <v>5762</v>
      </c>
      <c r="H9" s="204">
        <v>6208</v>
      </c>
      <c r="I9" s="204">
        <v>6016</v>
      </c>
      <c r="J9" s="204">
        <v>7116</v>
      </c>
      <c r="K9" s="204">
        <v>9992</v>
      </c>
      <c r="L9" s="204">
        <v>10559</v>
      </c>
      <c r="M9" s="204">
        <v>10051</v>
      </c>
      <c r="N9" s="205">
        <v>9570</v>
      </c>
      <c r="O9" s="204">
        <f>Z45</f>
        <v>9228.9865271669987</v>
      </c>
      <c r="P9" s="204">
        <f>AA45</f>
        <v>10155.091832742999</v>
      </c>
      <c r="Q9" s="204">
        <f>AB45</f>
        <v>9910.3672180260019</v>
      </c>
      <c r="R9" s="204">
        <f>AC45</f>
        <v>10530.986046372</v>
      </c>
      <c r="S9" s="205">
        <f>AD45</f>
        <v>10530.986046372</v>
      </c>
      <c r="Y9" s="122" t="s">
        <v>105</v>
      </c>
      <c r="Z9" s="218">
        <v>7.516</v>
      </c>
      <c r="AA9" s="218">
        <v>7.0289999999999999</v>
      </c>
      <c r="AB9" s="218">
        <v>5.3780000000000001</v>
      </c>
      <c r="AC9" s="218">
        <v>6.8769999999999998</v>
      </c>
      <c r="AD9" s="218">
        <v>5.7149999999999999</v>
      </c>
      <c r="AE9" s="218">
        <v>7.0949999999999998</v>
      </c>
      <c r="AF9" s="218">
        <v>7.3849999999999998</v>
      </c>
      <c r="AG9" s="218">
        <v>5.88</v>
      </c>
      <c r="AH9" s="218">
        <v>6.3029999999999999</v>
      </c>
      <c r="AI9" s="218">
        <v>7.5880000000000001</v>
      </c>
      <c r="AJ9" s="218">
        <v>7.093</v>
      </c>
      <c r="AK9" s="218">
        <v>8.3040000000000003</v>
      </c>
      <c r="AL9" s="219">
        <v>7.7380000000000004</v>
      </c>
      <c r="AM9" s="218">
        <f>Z17*(1+$Z$19)</f>
        <v>7.7502249999999995</v>
      </c>
      <c r="AN9" s="218">
        <f>AM9*(1+$Z$19)</f>
        <v>7.7889761249999987</v>
      </c>
      <c r="AO9" s="218">
        <f>AN9*(1+$Z$19)</f>
        <v>7.8279210056249982</v>
      </c>
      <c r="AP9" s="218">
        <f>AO9*(1+$Z$19)</f>
        <v>7.8670606106531222</v>
      </c>
      <c r="AQ9" s="219">
        <f>AP9*(1+$Z$19)</f>
        <v>7.9063959137063868</v>
      </c>
    </row>
    <row r="10" spans="1:43" x14ac:dyDescent="0.25">
      <c r="A10" s="122" t="s">
        <v>71</v>
      </c>
      <c r="B10" s="204">
        <v>-379091</v>
      </c>
      <c r="C10" s="204">
        <v>-424043</v>
      </c>
      <c r="D10" s="204">
        <v>-501326</v>
      </c>
      <c r="E10" s="204">
        <v>-629116</v>
      </c>
      <c r="F10" s="204">
        <v>-481841</v>
      </c>
      <c r="G10" s="204">
        <v>-567966</v>
      </c>
      <c r="H10" s="204">
        <v>-762874</v>
      </c>
      <c r="I10" s="204">
        <v>-945782</v>
      </c>
      <c r="J10" s="204">
        <v>-1220756</v>
      </c>
      <c r="K10" s="204">
        <v>-1831639</v>
      </c>
      <c r="L10" s="204">
        <v>-1636704</v>
      </c>
      <c r="M10" s="204">
        <v>-2204939</v>
      </c>
      <c r="N10" s="205">
        <v>-2343345</v>
      </c>
      <c r="O10" s="204"/>
      <c r="P10" s="204"/>
      <c r="Q10" s="204"/>
      <c r="R10" s="204"/>
      <c r="S10" s="205"/>
      <c r="Y10" s="167" t="s">
        <v>111</v>
      </c>
      <c r="Z10" s="197"/>
      <c r="AA10" s="197"/>
      <c r="AB10" s="197"/>
      <c r="AC10" s="197"/>
      <c r="AD10" s="197"/>
      <c r="AE10" s="197"/>
      <c r="AF10" s="197"/>
      <c r="AG10" s="197"/>
      <c r="AH10" s="197"/>
      <c r="AI10" s="197"/>
      <c r="AJ10" s="197"/>
      <c r="AK10" s="197"/>
      <c r="AL10" s="198"/>
      <c r="AM10" s="197"/>
      <c r="AN10" s="197"/>
      <c r="AO10" s="197"/>
      <c r="AP10" s="197"/>
      <c r="AQ10" s="198"/>
    </row>
    <row r="11" spans="1:43" x14ac:dyDescent="0.25">
      <c r="A11" s="122" t="s">
        <v>79</v>
      </c>
      <c r="B11" s="118">
        <v>-2760</v>
      </c>
      <c r="C11" s="118">
        <v>-2780</v>
      </c>
      <c r="D11" s="204">
        <v>-3169</v>
      </c>
      <c r="E11" s="204">
        <v>-4238</v>
      </c>
      <c r="F11" s="204">
        <v>-3414</v>
      </c>
      <c r="G11" s="204">
        <v>-3347</v>
      </c>
      <c r="H11" s="204">
        <v>-4115</v>
      </c>
      <c r="I11" s="204">
        <v>-4379</v>
      </c>
      <c r="J11" s="204">
        <v>-4769</v>
      </c>
      <c r="K11" s="204">
        <v>-6607</v>
      </c>
      <c r="L11" s="204">
        <v>-6839</v>
      </c>
      <c r="M11" s="204">
        <v>-6054</v>
      </c>
      <c r="N11" s="205">
        <v>-6345</v>
      </c>
      <c r="O11" s="204">
        <f>(O9-O12)*-1</f>
        <v>-6091.1311079302195</v>
      </c>
      <c r="P11" s="204">
        <f t="shared" ref="P11:S11" si="2">(P9-P12)*-1</f>
        <v>-6702.3606096103795</v>
      </c>
      <c r="Q11" s="204">
        <f t="shared" si="2"/>
        <v>-6540.8423638971608</v>
      </c>
      <c r="R11" s="204">
        <f t="shared" si="2"/>
        <v>-6950.4507906055196</v>
      </c>
      <c r="S11" s="205">
        <f t="shared" si="2"/>
        <v>-6950.4507906055196</v>
      </c>
      <c r="Y11" s="122"/>
      <c r="AL11" s="222"/>
      <c r="AQ11" s="124"/>
    </row>
    <row r="12" spans="1:43" x14ac:dyDescent="0.25">
      <c r="A12" s="122" t="s">
        <v>78</v>
      </c>
      <c r="B12" s="118">
        <v>1270</v>
      </c>
      <c r="C12" s="118">
        <v>1490</v>
      </c>
      <c r="D12" s="118">
        <v>978</v>
      </c>
      <c r="E12" s="118">
        <v>541</v>
      </c>
      <c r="F12" s="204">
        <v>2196</v>
      </c>
      <c r="G12" s="204">
        <v>2415</v>
      </c>
      <c r="H12" s="204">
        <v>2093</v>
      </c>
      <c r="I12" s="204">
        <v>1637</v>
      </c>
      <c r="J12" s="204">
        <v>2347</v>
      </c>
      <c r="K12" s="204">
        <v>3385</v>
      </c>
      <c r="L12" s="204">
        <v>3720</v>
      </c>
      <c r="M12" s="204">
        <v>3997</v>
      </c>
      <c r="N12" s="205">
        <v>3225</v>
      </c>
      <c r="O12" s="204">
        <f>O9*O13</f>
        <v>3137.8554192367797</v>
      </c>
      <c r="P12" s="204">
        <f t="shared" ref="P12:S12" si="3">P9*P13</f>
        <v>3452.73122313262</v>
      </c>
      <c r="Q12" s="204">
        <f t="shared" si="3"/>
        <v>3369.5248541288411</v>
      </c>
      <c r="R12" s="204">
        <f t="shared" si="3"/>
        <v>3580.5352557664801</v>
      </c>
      <c r="S12" s="205">
        <f t="shared" si="3"/>
        <v>3580.5352557664801</v>
      </c>
      <c r="Y12" s="119" t="s">
        <v>261</v>
      </c>
      <c r="AQ12" s="124"/>
    </row>
    <row r="13" spans="1:43" x14ac:dyDescent="0.25">
      <c r="A13" s="122" t="s">
        <v>68</v>
      </c>
      <c r="B13" s="206">
        <f t="shared" ref="B13:N13" si="4">B12/B9</f>
        <v>0.31513647642679898</v>
      </c>
      <c r="C13" s="206">
        <f t="shared" si="4"/>
        <v>0.34894613583138173</v>
      </c>
      <c r="D13" s="206">
        <f t="shared" si="4"/>
        <v>0.23583313238485654</v>
      </c>
      <c r="E13" s="206">
        <f t="shared" si="4"/>
        <v>0.1132035990793053</v>
      </c>
      <c r="F13" s="206">
        <f t="shared" si="4"/>
        <v>0.39144385026737966</v>
      </c>
      <c r="G13" s="206">
        <f t="shared" si="4"/>
        <v>0.41912530371398821</v>
      </c>
      <c r="H13" s="206">
        <f t="shared" si="4"/>
        <v>0.33714561855670105</v>
      </c>
      <c r="I13" s="206">
        <f t="shared" si="4"/>
        <v>0.27210771276595747</v>
      </c>
      <c r="J13" s="206">
        <f t="shared" si="4"/>
        <v>0.32982012366498031</v>
      </c>
      <c r="K13" s="206">
        <f t="shared" si="4"/>
        <v>0.33877101681345079</v>
      </c>
      <c r="L13" s="206">
        <f t="shared" si="4"/>
        <v>0.35230608959181742</v>
      </c>
      <c r="M13" s="206">
        <f t="shared" si="4"/>
        <v>0.39767187344542831</v>
      </c>
      <c r="N13" s="207">
        <f t="shared" si="4"/>
        <v>0.33699059561128525</v>
      </c>
      <c r="O13" s="206">
        <f>$B$14</f>
        <v>0.34</v>
      </c>
      <c r="P13" s="206">
        <f t="shared" ref="P13:S13" si="5">$B$14</f>
        <v>0.34</v>
      </c>
      <c r="Q13" s="206">
        <f t="shared" si="5"/>
        <v>0.34</v>
      </c>
      <c r="R13" s="206">
        <f t="shared" si="5"/>
        <v>0.34</v>
      </c>
      <c r="S13" s="207">
        <f t="shared" si="5"/>
        <v>0.34</v>
      </c>
      <c r="Y13" s="223" t="s">
        <v>110</v>
      </c>
      <c r="Z13" s="220">
        <f>AVERAGE(AJ5:AL5)</f>
        <v>1.9673333333333334</v>
      </c>
      <c r="AQ13" s="124"/>
    </row>
    <row r="14" spans="1:43" x14ac:dyDescent="0.25">
      <c r="A14" s="214" t="s">
        <v>77</v>
      </c>
      <c r="B14" s="215">
        <v>0.34</v>
      </c>
      <c r="F14" s="204"/>
      <c r="G14" s="204"/>
      <c r="H14" s="204"/>
      <c r="I14" s="204"/>
      <c r="J14" s="204"/>
      <c r="K14" s="204"/>
      <c r="L14" s="204"/>
      <c r="M14" s="204"/>
      <c r="N14" s="209"/>
      <c r="O14" s="208"/>
      <c r="P14" s="208"/>
      <c r="Q14" s="208"/>
      <c r="R14" s="208"/>
      <c r="S14" s="209"/>
      <c r="Y14" s="223" t="s">
        <v>109</v>
      </c>
      <c r="Z14" s="220">
        <f>AVERAGE(AJ6:AL6)</f>
        <v>1.9400000000000002</v>
      </c>
      <c r="AQ14" s="124"/>
    </row>
    <row r="15" spans="1:43" x14ac:dyDescent="0.25">
      <c r="A15" s="122"/>
      <c r="F15" s="204"/>
      <c r="G15" s="204"/>
      <c r="H15" s="204"/>
      <c r="I15" s="204"/>
      <c r="J15" s="204"/>
      <c r="K15" s="204"/>
      <c r="L15" s="204"/>
      <c r="M15" s="204"/>
      <c r="N15" s="205"/>
      <c r="O15" s="204"/>
      <c r="P15" s="204"/>
      <c r="Q15" s="204"/>
      <c r="R15" s="204"/>
      <c r="S15" s="205"/>
      <c r="Y15" s="223" t="s">
        <v>108</v>
      </c>
      <c r="Z15" s="220">
        <f>AVERAGE(AJ7:AL7)</f>
        <v>3.7536666666666663</v>
      </c>
      <c r="AQ15" s="124"/>
    </row>
    <row r="16" spans="1:43" x14ac:dyDescent="0.25">
      <c r="A16" s="122"/>
      <c r="N16" s="124"/>
      <c r="S16" s="124"/>
      <c r="Y16" s="223" t="s">
        <v>107</v>
      </c>
      <c r="Z16" s="220"/>
      <c r="AQ16" s="124"/>
    </row>
    <row r="17" spans="1:43" ht="18" customHeight="1" x14ac:dyDescent="0.25">
      <c r="A17" s="404" t="s">
        <v>106</v>
      </c>
      <c r="B17" s="405"/>
      <c r="C17" s="405"/>
      <c r="D17" s="405"/>
      <c r="E17" s="405"/>
      <c r="F17" s="405"/>
      <c r="G17" s="405"/>
      <c r="H17" s="405"/>
      <c r="I17" s="405"/>
      <c r="J17" s="405"/>
      <c r="K17" s="405"/>
      <c r="L17" s="405"/>
      <c r="M17" s="405"/>
      <c r="N17" s="406"/>
      <c r="S17" s="124"/>
      <c r="Y17" s="223" t="s">
        <v>105</v>
      </c>
      <c r="Z17" s="220">
        <f>AVERAGE(AJ9:AL9)</f>
        <v>7.7116666666666669</v>
      </c>
      <c r="AQ17" s="124"/>
    </row>
    <row r="18" spans="1:43" x14ac:dyDescent="0.25">
      <c r="A18" s="122" t="s">
        <v>81</v>
      </c>
      <c r="B18" s="204">
        <v>159917</v>
      </c>
      <c r="C18" s="204">
        <v>193862</v>
      </c>
      <c r="D18" s="204">
        <v>191566</v>
      </c>
      <c r="E18" s="204">
        <v>173202</v>
      </c>
      <c r="F18" s="204">
        <v>179425</v>
      </c>
      <c r="G18" s="204">
        <v>218186</v>
      </c>
      <c r="H18" s="204">
        <v>234986</v>
      </c>
      <c r="I18" s="204">
        <v>281613</v>
      </c>
      <c r="J18" s="204">
        <v>320168</v>
      </c>
      <c r="K18" s="204">
        <v>300647</v>
      </c>
      <c r="L18" s="204">
        <v>346374</v>
      </c>
      <c r="M18" s="204">
        <v>415015</v>
      </c>
      <c r="N18" s="205">
        <v>414257</v>
      </c>
      <c r="O18" s="204">
        <f>O5*O26</f>
        <v>509036.581072998</v>
      </c>
      <c r="P18" s="204">
        <f>P5*P26</f>
        <v>589055.93363434041</v>
      </c>
      <c r="Q18" s="204">
        <f>Q5*Q26</f>
        <v>621601.27396763768</v>
      </c>
      <c r="R18" s="204">
        <f>R5*R26</f>
        <v>655944.74435434956</v>
      </c>
      <c r="S18" s="205">
        <f>S5*S26</f>
        <v>677183.64457863464</v>
      </c>
      <c r="Y18" s="223"/>
      <c r="Z18" s="196"/>
      <c r="AQ18" s="124"/>
    </row>
    <row r="19" spans="1:43" x14ac:dyDescent="0.25">
      <c r="A19" s="122" t="s">
        <v>75</v>
      </c>
      <c r="B19" s="204">
        <v>83077</v>
      </c>
      <c r="C19" s="204">
        <v>82043</v>
      </c>
      <c r="D19" s="204">
        <v>85019</v>
      </c>
      <c r="E19" s="204">
        <v>98902</v>
      </c>
      <c r="F19" s="204">
        <v>104375</v>
      </c>
      <c r="G19" s="204">
        <v>80496</v>
      </c>
      <c r="H19" s="204">
        <v>77154</v>
      </c>
      <c r="I19" s="204">
        <v>156269</v>
      </c>
      <c r="J19" s="204">
        <v>354810</v>
      </c>
      <c r="K19" s="204">
        <v>380070</v>
      </c>
      <c r="L19" s="204">
        <v>349283</v>
      </c>
      <c r="M19" s="204">
        <v>320811</v>
      </c>
      <c r="N19" s="205">
        <v>386901</v>
      </c>
      <c r="O19" s="204"/>
      <c r="P19" s="204"/>
      <c r="Q19" s="204"/>
      <c r="R19" s="204"/>
      <c r="S19" s="205"/>
      <c r="Y19" s="223" t="s">
        <v>262</v>
      </c>
      <c r="Z19" s="225">
        <v>5.0000000000000001E-3</v>
      </c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Q19" s="124"/>
    </row>
    <row r="20" spans="1:43" x14ac:dyDescent="0.25">
      <c r="A20" s="122" t="s">
        <v>80</v>
      </c>
      <c r="B20" s="118">
        <v>520</v>
      </c>
      <c r="C20" s="118">
        <v>420</v>
      </c>
      <c r="D20" s="118">
        <v>444</v>
      </c>
      <c r="E20" s="118">
        <v>571</v>
      </c>
      <c r="F20" s="118">
        <v>582</v>
      </c>
      <c r="G20" s="118">
        <v>369</v>
      </c>
      <c r="H20" s="118">
        <v>328</v>
      </c>
      <c r="I20" s="118">
        <v>555</v>
      </c>
      <c r="J20" s="204">
        <v>1108</v>
      </c>
      <c r="K20" s="204">
        <v>1264</v>
      </c>
      <c r="L20" s="204">
        <v>1008</v>
      </c>
      <c r="M20" s="118">
        <v>773</v>
      </c>
      <c r="N20" s="124">
        <v>934</v>
      </c>
      <c r="O20" s="123">
        <f>O9*O28</f>
        <v>907.76916660659003</v>
      </c>
      <c r="P20" s="123">
        <f>P9*P28</f>
        <v>998.86149174521302</v>
      </c>
      <c r="Q20" s="123">
        <f>Q9*Q28</f>
        <v>974.79021816649197</v>
      </c>
      <c r="R20" s="123">
        <f>R9*R28</f>
        <v>1035.8346930857704</v>
      </c>
      <c r="S20" s="210">
        <f>S9*S28</f>
        <v>1035.8346930857704</v>
      </c>
      <c r="Y20" s="224"/>
      <c r="Z20" s="197"/>
      <c r="AA20" s="197"/>
      <c r="AB20" s="197"/>
      <c r="AC20" s="197"/>
      <c r="AD20" s="197"/>
      <c r="AE20" s="197"/>
      <c r="AF20" s="221"/>
      <c r="AG20" s="221"/>
      <c r="AH20" s="221"/>
      <c r="AI20" s="221"/>
      <c r="AJ20" s="221"/>
      <c r="AK20" s="221"/>
      <c r="AL20" s="221"/>
      <c r="AM20" s="197"/>
      <c r="AN20" s="197"/>
      <c r="AO20" s="197"/>
      <c r="AP20" s="197"/>
      <c r="AQ20" s="198"/>
    </row>
    <row r="21" spans="1:43" x14ac:dyDescent="0.25">
      <c r="A21" s="122" t="s">
        <v>71</v>
      </c>
      <c r="B21" s="204">
        <v>-58920</v>
      </c>
      <c r="C21" s="204">
        <v>-61891</v>
      </c>
      <c r="D21" s="204">
        <v>-64080</v>
      </c>
      <c r="E21" s="204">
        <v>-97913</v>
      </c>
      <c r="F21" s="204">
        <v>-75483</v>
      </c>
      <c r="G21" s="204">
        <v>-52980</v>
      </c>
      <c r="H21" s="204">
        <v>-61257</v>
      </c>
      <c r="I21" s="204">
        <v>-98128</v>
      </c>
      <c r="J21" s="204">
        <v>-134769</v>
      </c>
      <c r="K21" s="204">
        <v>-140849</v>
      </c>
      <c r="L21" s="204">
        <v>-205003</v>
      </c>
      <c r="M21" s="204">
        <v>-227896</v>
      </c>
      <c r="N21" s="205">
        <v>-229100</v>
      </c>
      <c r="O21" s="204"/>
      <c r="P21" s="204"/>
      <c r="Q21" s="204"/>
      <c r="R21" s="204"/>
      <c r="S21" s="205"/>
    </row>
    <row r="22" spans="1:43" x14ac:dyDescent="0.25">
      <c r="A22" s="122" t="s">
        <v>79</v>
      </c>
      <c r="B22" s="118">
        <v>-370</v>
      </c>
      <c r="C22" s="118">
        <v>-320</v>
      </c>
      <c r="D22" s="118">
        <v>-335</v>
      </c>
      <c r="E22" s="118">
        <v>-565</v>
      </c>
      <c r="F22" s="118">
        <v>-421</v>
      </c>
      <c r="G22" s="118">
        <v>-243</v>
      </c>
      <c r="H22" s="118">
        <v>-261</v>
      </c>
      <c r="I22" s="118">
        <v>-348</v>
      </c>
      <c r="J22" s="118">
        <v>-421</v>
      </c>
      <c r="K22" s="118">
        <v>-468</v>
      </c>
      <c r="L22" s="118">
        <v>-592</v>
      </c>
      <c r="M22" s="118">
        <v>-549</v>
      </c>
      <c r="N22" s="124">
        <v>-553</v>
      </c>
      <c r="O22" s="123">
        <f>(O20-O23)*-1</f>
        <v>-644.71574704659497</v>
      </c>
      <c r="P22" s="123">
        <f>(P20-P23)*-1</f>
        <v>-709.41133113599221</v>
      </c>
      <c r="Q22" s="123">
        <f>(Q20-Q23)*-1</f>
        <v>-692.31543308331709</v>
      </c>
      <c r="R22" s="123">
        <f>(R20-R23)*-1</f>
        <v>-735.67043532223533</v>
      </c>
      <c r="S22" s="210">
        <f>(S20-S23)*-1</f>
        <v>-735.67043532223533</v>
      </c>
      <c r="AF22" s="199"/>
      <c r="AG22" s="199"/>
      <c r="AH22" s="199"/>
      <c r="AI22" s="199"/>
      <c r="AJ22" s="199"/>
      <c r="AK22" s="199"/>
      <c r="AL22" s="199"/>
    </row>
    <row r="23" spans="1:43" x14ac:dyDescent="0.25">
      <c r="A23" s="122" t="s">
        <v>78</v>
      </c>
      <c r="B23" s="118">
        <v>150</v>
      </c>
      <c r="C23" s="118">
        <v>100</v>
      </c>
      <c r="D23" s="118">
        <v>109</v>
      </c>
      <c r="E23" s="118">
        <v>6</v>
      </c>
      <c r="F23" s="118">
        <v>161</v>
      </c>
      <c r="G23" s="118">
        <v>126</v>
      </c>
      <c r="H23" s="118">
        <v>67</v>
      </c>
      <c r="I23" s="118">
        <v>207</v>
      </c>
      <c r="J23" s="118">
        <v>687</v>
      </c>
      <c r="K23" s="118">
        <v>796</v>
      </c>
      <c r="L23" s="118">
        <v>416</v>
      </c>
      <c r="M23" s="118">
        <v>224</v>
      </c>
      <c r="N23" s="124">
        <v>381</v>
      </c>
      <c r="O23" s="123">
        <f>O20*O24</f>
        <v>263.05341955999501</v>
      </c>
      <c r="P23" s="123">
        <f>P20*P24</f>
        <v>289.4501606092208</v>
      </c>
      <c r="Q23" s="123">
        <f>Q20*Q24</f>
        <v>282.47478508317488</v>
      </c>
      <c r="R23" s="123">
        <f>R20*R24</f>
        <v>300.16425776353498</v>
      </c>
      <c r="S23" s="210">
        <f>S20*S24</f>
        <v>300.16425776353498</v>
      </c>
      <c r="AE23" s="199"/>
    </row>
    <row r="24" spans="1:43" x14ac:dyDescent="0.25">
      <c r="A24" s="122" t="s">
        <v>68</v>
      </c>
      <c r="B24" s="206">
        <f t="shared" ref="B24:N24" si="6">B23/B20</f>
        <v>0.28846153846153844</v>
      </c>
      <c r="C24" s="206">
        <f t="shared" si="6"/>
        <v>0.23809523809523808</v>
      </c>
      <c r="D24" s="206">
        <f t="shared" si="6"/>
        <v>0.24549549549549549</v>
      </c>
      <c r="E24" s="206">
        <f t="shared" si="6"/>
        <v>1.0507880910683012E-2</v>
      </c>
      <c r="F24" s="206">
        <f t="shared" si="6"/>
        <v>0.2766323024054983</v>
      </c>
      <c r="G24" s="206">
        <f t="shared" si="6"/>
        <v>0.34146341463414637</v>
      </c>
      <c r="H24" s="206">
        <f t="shared" si="6"/>
        <v>0.20426829268292682</v>
      </c>
      <c r="I24" s="206">
        <f t="shared" si="6"/>
        <v>0.37297297297297299</v>
      </c>
      <c r="J24" s="206">
        <f t="shared" si="6"/>
        <v>0.62003610108303253</v>
      </c>
      <c r="K24" s="206">
        <f t="shared" si="6"/>
        <v>0.629746835443038</v>
      </c>
      <c r="L24" s="206">
        <f t="shared" si="6"/>
        <v>0.41269841269841268</v>
      </c>
      <c r="M24" s="206">
        <f t="shared" si="6"/>
        <v>0.28978007761966362</v>
      </c>
      <c r="N24" s="207">
        <f t="shared" si="6"/>
        <v>0.40792291220556748</v>
      </c>
      <c r="O24" s="206">
        <f>$B$25</f>
        <v>0.28978007761966362</v>
      </c>
      <c r="P24" s="206">
        <f>$B$25</f>
        <v>0.28978007761966362</v>
      </c>
      <c r="Q24" s="206">
        <f>$B$25</f>
        <v>0.28978007761966362</v>
      </c>
      <c r="R24" s="206">
        <f>$B$25</f>
        <v>0.28978007761966362</v>
      </c>
      <c r="S24" s="207">
        <f>$B$25</f>
        <v>0.28978007761966362</v>
      </c>
      <c r="Y24" s="389" t="s">
        <v>264</v>
      </c>
      <c r="Z24" s="390"/>
      <c r="AA24" s="390"/>
      <c r="AB24" s="390"/>
      <c r="AC24" s="390"/>
      <c r="AD24" s="391"/>
    </row>
    <row r="25" spans="1:43" x14ac:dyDescent="0.25">
      <c r="A25" s="122" t="s">
        <v>77</v>
      </c>
      <c r="B25" s="144">
        <f>MEDIAN(B24:N24)</f>
        <v>0.28978007761966362</v>
      </c>
      <c r="N25" s="124"/>
      <c r="S25" s="124"/>
      <c r="Y25" s="223" t="s">
        <v>104</v>
      </c>
      <c r="Z25" s="226" t="s">
        <v>103</v>
      </c>
      <c r="AA25" s="227" t="s">
        <v>102</v>
      </c>
      <c r="AB25" s="226" t="s">
        <v>101</v>
      </c>
      <c r="AC25" s="227" t="s">
        <v>100</v>
      </c>
      <c r="AD25" s="228" t="s">
        <v>263</v>
      </c>
      <c r="AE25" s="199"/>
    </row>
    <row r="26" spans="1:43" x14ac:dyDescent="0.25">
      <c r="A26" s="122" t="s">
        <v>97</v>
      </c>
      <c r="B26" s="194">
        <f t="shared" ref="B26:N26" si="7">B18/B5</f>
        <v>1.1635658519903664</v>
      </c>
      <c r="C26" s="194">
        <f t="shared" si="7"/>
        <v>1.2687635801984345</v>
      </c>
      <c r="D26" s="194">
        <f t="shared" si="7"/>
        <v>1.2110403772845375</v>
      </c>
      <c r="E26" s="194">
        <f t="shared" si="7"/>
        <v>1.1669013467718572</v>
      </c>
      <c r="F26" s="194">
        <f t="shared" si="7"/>
        <v>1.2713816022561399</v>
      </c>
      <c r="G26" s="194">
        <f t="shared" si="7"/>
        <v>1.2859205648512138</v>
      </c>
      <c r="H26" s="194">
        <f t="shared" si="7"/>
        <v>1.2676319224918273</v>
      </c>
      <c r="I26" s="194">
        <f t="shared" si="7"/>
        <v>1.3039751811636144</v>
      </c>
      <c r="J26" s="194">
        <f t="shared" si="7"/>
        <v>1.250690448566953</v>
      </c>
      <c r="K26" s="194">
        <f t="shared" si="7"/>
        <v>1.0844990657307141</v>
      </c>
      <c r="L26" s="194">
        <f t="shared" si="7"/>
        <v>1.4474285738164587</v>
      </c>
      <c r="M26" s="194">
        <f t="shared" si="7"/>
        <v>1.1394061026032429</v>
      </c>
      <c r="N26" s="195">
        <f t="shared" si="7"/>
        <v>1.1216506736559373</v>
      </c>
      <c r="O26" s="118">
        <v>1.2</v>
      </c>
      <c r="P26" s="118">
        <v>1.2</v>
      </c>
      <c r="Q26" s="118">
        <v>1.2</v>
      </c>
      <c r="R26" s="118">
        <v>1.2</v>
      </c>
      <c r="S26" s="124">
        <v>1.2</v>
      </c>
      <c r="Y26" s="122"/>
      <c r="AD26" s="124"/>
    </row>
    <row r="27" spans="1:43" x14ac:dyDescent="0.25">
      <c r="A27" s="122" t="s">
        <v>65</v>
      </c>
      <c r="B27" s="194">
        <f>MEDIAN(B26:N26)</f>
        <v>1.250690448566953</v>
      </c>
      <c r="C27" s="194"/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5"/>
      <c r="S27" s="124"/>
      <c r="Y27" s="401" t="s">
        <v>265</v>
      </c>
      <c r="Z27" s="402"/>
      <c r="AA27" s="402"/>
      <c r="AB27" s="402"/>
      <c r="AC27" s="402"/>
      <c r="AD27" s="403"/>
    </row>
    <row r="28" spans="1:43" x14ac:dyDescent="0.25">
      <c r="A28" s="122" t="s">
        <v>95</v>
      </c>
      <c r="B28" s="206">
        <f t="shared" ref="B28:N28" si="8">B20/B9</f>
        <v>0.12903225806451613</v>
      </c>
      <c r="C28" s="206">
        <f t="shared" si="8"/>
        <v>9.8360655737704916E-2</v>
      </c>
      <c r="D28" s="206">
        <f t="shared" si="8"/>
        <v>0.10706534844465879</v>
      </c>
      <c r="E28" s="206">
        <f t="shared" si="8"/>
        <v>0.11948106298388785</v>
      </c>
      <c r="F28" s="206">
        <f t="shared" si="8"/>
        <v>0.10374331550802139</v>
      </c>
      <c r="G28" s="206">
        <f t="shared" si="8"/>
        <v>6.4040263797292607E-2</v>
      </c>
      <c r="H28" s="206">
        <f t="shared" si="8"/>
        <v>5.2835051546391752E-2</v>
      </c>
      <c r="I28" s="206">
        <f t="shared" si="8"/>
        <v>9.2253989361702121E-2</v>
      </c>
      <c r="J28" s="206">
        <f t="shared" si="8"/>
        <v>0.15570545250140527</v>
      </c>
      <c r="K28" s="206">
        <f t="shared" si="8"/>
        <v>0.12650120096076861</v>
      </c>
      <c r="L28" s="206">
        <f t="shared" si="8"/>
        <v>9.5463585566815043E-2</v>
      </c>
      <c r="M28" s="206">
        <f t="shared" si="8"/>
        <v>7.6907770371107353E-2</v>
      </c>
      <c r="N28" s="207">
        <f t="shared" si="8"/>
        <v>9.7596656217345867E-2</v>
      </c>
      <c r="O28" s="206">
        <f>$B$29</f>
        <v>9.8360655737704916E-2</v>
      </c>
      <c r="P28" s="206">
        <f>$B$29</f>
        <v>9.8360655737704916E-2</v>
      </c>
      <c r="Q28" s="206">
        <f>$B$29</f>
        <v>9.8360655737704916E-2</v>
      </c>
      <c r="R28" s="206">
        <f>$B$29</f>
        <v>9.8360655737704916E-2</v>
      </c>
      <c r="S28" s="207">
        <f>$B$29</f>
        <v>9.8360655737704916E-2</v>
      </c>
      <c r="Y28" s="229" t="s">
        <v>99</v>
      </c>
      <c r="Z28" s="230">
        <v>0.84509999999999996</v>
      </c>
      <c r="AA28" s="230">
        <v>0.85929999999999995</v>
      </c>
      <c r="AB28" s="230">
        <v>0.7782</v>
      </c>
      <c r="AC28" s="230">
        <v>0.76680000000000004</v>
      </c>
      <c r="AD28" s="231">
        <v>0.76680000000000004</v>
      </c>
    </row>
    <row r="29" spans="1:43" x14ac:dyDescent="0.25">
      <c r="A29" s="214" t="s">
        <v>93</v>
      </c>
      <c r="B29" s="216">
        <f>MEDIAN(B28:N28)</f>
        <v>9.8360655737704916E-2</v>
      </c>
      <c r="C29" s="194"/>
      <c r="D29" s="194"/>
      <c r="E29" s="194"/>
      <c r="F29" s="194"/>
      <c r="G29" s="194"/>
      <c r="H29" s="194"/>
      <c r="I29" s="194"/>
      <c r="J29" s="194"/>
      <c r="K29" s="194"/>
      <c r="L29" s="194"/>
      <c r="M29" s="194"/>
      <c r="N29" s="195"/>
      <c r="S29" s="124"/>
      <c r="Y29" s="229" t="s">
        <v>98</v>
      </c>
      <c r="Z29" s="230">
        <v>12.18</v>
      </c>
      <c r="AA29" s="230">
        <v>12.13</v>
      </c>
      <c r="AB29" s="230">
        <v>11.67</v>
      </c>
      <c r="AC29" s="230">
        <v>11.47</v>
      </c>
      <c r="AD29" s="231">
        <v>11.47</v>
      </c>
    </row>
    <row r="30" spans="1:43" x14ac:dyDescent="0.25">
      <c r="A30" s="122"/>
      <c r="N30" s="124"/>
      <c r="S30" s="124"/>
      <c r="Y30" s="232" t="s">
        <v>96</v>
      </c>
      <c r="Z30" s="233">
        <v>4.7300000000000004</v>
      </c>
      <c r="AA30" s="233">
        <v>5.2024999999999997</v>
      </c>
      <c r="AB30" s="233">
        <v>5.2125000000000004</v>
      </c>
      <c r="AC30" s="233">
        <v>5.08</v>
      </c>
      <c r="AD30" s="234">
        <v>5.08</v>
      </c>
    </row>
    <row r="31" spans="1:43" ht="18" customHeight="1" x14ac:dyDescent="0.25">
      <c r="A31" s="404" t="s">
        <v>92</v>
      </c>
      <c r="B31" s="405"/>
      <c r="C31" s="405"/>
      <c r="D31" s="405"/>
      <c r="E31" s="405"/>
      <c r="F31" s="405"/>
      <c r="G31" s="405"/>
      <c r="H31" s="405"/>
      <c r="I31" s="405"/>
      <c r="J31" s="405"/>
      <c r="K31" s="405"/>
      <c r="L31" s="405"/>
      <c r="M31" s="405"/>
      <c r="N31" s="406"/>
      <c r="S31" s="124"/>
      <c r="Y31" s="235"/>
      <c r="Z31" s="236"/>
      <c r="AA31" s="236"/>
      <c r="AB31" s="236"/>
      <c r="AC31" s="236"/>
      <c r="AD31" s="237"/>
    </row>
    <row r="32" spans="1:43" x14ac:dyDescent="0.25">
      <c r="A32" s="122" t="s">
        <v>81</v>
      </c>
      <c r="B32" s="204">
        <v>394468</v>
      </c>
      <c r="C32" s="204">
        <v>537426</v>
      </c>
      <c r="D32" s="204">
        <v>634879</v>
      </c>
      <c r="E32" s="204">
        <v>539570</v>
      </c>
      <c r="F32" s="204">
        <v>746049</v>
      </c>
      <c r="G32" s="204">
        <v>842481</v>
      </c>
      <c r="H32" s="204">
        <v>898368</v>
      </c>
      <c r="I32" s="204">
        <v>899278</v>
      </c>
      <c r="J32" s="204">
        <v>1004595</v>
      </c>
      <c r="K32" s="204">
        <v>1274552</v>
      </c>
      <c r="L32" s="204">
        <v>1309363</v>
      </c>
      <c r="M32" s="204">
        <v>1013687</v>
      </c>
      <c r="N32" s="205">
        <v>1445837</v>
      </c>
      <c r="O32" s="204">
        <f>'Planted Area'!N6*AM7</f>
        <v>1602047.5163199997</v>
      </c>
      <c r="P32" s="204">
        <f>'Planted Area'!O6*AN7</f>
        <v>1830133.7502546499</v>
      </c>
      <c r="Q32" s="204">
        <f>'Planted Area'!P6*AO7</f>
        <v>1931248.6399562191</v>
      </c>
      <c r="R32" s="204">
        <f>'Planted Area'!Q6*AP7</f>
        <v>2037950.1273137999</v>
      </c>
      <c r="S32" s="205">
        <f>'Planted Area'!R6*AQ7</f>
        <v>2150546.8718478871</v>
      </c>
      <c r="Y32" s="401" t="s">
        <v>94</v>
      </c>
      <c r="Z32" s="402"/>
      <c r="AA32" s="402"/>
      <c r="AB32" s="402"/>
      <c r="AC32" s="402"/>
      <c r="AD32" s="403"/>
    </row>
    <row r="33" spans="1:30" x14ac:dyDescent="0.25">
      <c r="A33" s="122" t="s">
        <v>75</v>
      </c>
      <c r="B33" s="204">
        <v>328348</v>
      </c>
      <c r="C33" s="204">
        <v>478022</v>
      </c>
      <c r="D33" s="204">
        <v>634055</v>
      </c>
      <c r="E33" s="204">
        <v>583990</v>
      </c>
      <c r="F33" s="204">
        <v>720879</v>
      </c>
      <c r="G33" s="204">
        <v>875235</v>
      </c>
      <c r="H33" s="204">
        <v>1036218</v>
      </c>
      <c r="I33" s="204">
        <v>1291803</v>
      </c>
      <c r="J33" s="204">
        <v>1881516</v>
      </c>
      <c r="K33" s="204">
        <v>2973363</v>
      </c>
      <c r="L33" s="204">
        <v>3055726</v>
      </c>
      <c r="M33" s="204">
        <v>2092605</v>
      </c>
      <c r="N33" s="205">
        <v>2749065</v>
      </c>
      <c r="O33" s="204"/>
      <c r="P33" s="204"/>
      <c r="Q33" s="204"/>
      <c r="R33" s="204"/>
      <c r="S33" s="205"/>
      <c r="Y33" s="212" t="s">
        <v>94</v>
      </c>
      <c r="Z33" s="213">
        <v>4.9535</v>
      </c>
      <c r="AA33" s="213">
        <v>5.3605</v>
      </c>
      <c r="AB33" s="213">
        <v>5.7765000000000004</v>
      </c>
      <c r="AC33" s="213">
        <v>6.2294999999999998</v>
      </c>
      <c r="AD33" s="241">
        <v>6.2294999999999998</v>
      </c>
    </row>
    <row r="34" spans="1:30" x14ac:dyDescent="0.25">
      <c r="A34" s="122" t="s">
        <v>74</v>
      </c>
      <c r="D34" s="204">
        <v>-69398</v>
      </c>
      <c r="E34" s="204">
        <v>9682</v>
      </c>
      <c r="F34" s="204">
        <v>60340</v>
      </c>
      <c r="G34" s="204">
        <v>-11041</v>
      </c>
      <c r="H34" s="204">
        <v>-46758</v>
      </c>
      <c r="I34" s="204">
        <v>-106204</v>
      </c>
      <c r="J34" s="204">
        <v>-29291</v>
      </c>
      <c r="K34" s="204">
        <v>114114</v>
      </c>
      <c r="L34" s="204">
        <v>136600</v>
      </c>
      <c r="M34" s="204">
        <v>39624</v>
      </c>
      <c r="N34" s="205">
        <v>4394</v>
      </c>
      <c r="O34" s="204"/>
      <c r="P34" s="204"/>
      <c r="Q34" s="204"/>
      <c r="R34" s="204"/>
      <c r="S34" s="205"/>
      <c r="Y34" s="122"/>
      <c r="AD34" s="124"/>
    </row>
    <row r="35" spans="1:30" x14ac:dyDescent="0.25">
      <c r="A35" s="122" t="s">
        <v>73</v>
      </c>
      <c r="D35" s="204">
        <v>564657</v>
      </c>
      <c r="E35" s="204">
        <v>593672</v>
      </c>
      <c r="F35" s="204">
        <v>781219</v>
      </c>
      <c r="G35" s="204">
        <v>864194</v>
      </c>
      <c r="H35" s="204">
        <v>989460</v>
      </c>
      <c r="I35" s="204">
        <v>1185599</v>
      </c>
      <c r="J35" s="204">
        <v>1852225</v>
      </c>
      <c r="K35" s="204">
        <v>3087477</v>
      </c>
      <c r="L35" s="204">
        <v>3192326</v>
      </c>
      <c r="M35" s="204">
        <v>2132229</v>
      </c>
      <c r="N35" s="205">
        <v>2753459</v>
      </c>
      <c r="O35" s="204"/>
      <c r="P35" s="204"/>
      <c r="Q35" s="204"/>
      <c r="R35" s="204"/>
      <c r="S35" s="205"/>
      <c r="Y35" s="122" t="s">
        <v>91</v>
      </c>
      <c r="Z35" s="238">
        <f t="shared" ref="Z35:AD37" si="9">Z28*Z$33</f>
        <v>4.1862028499999999</v>
      </c>
      <c r="AA35" s="238">
        <f t="shared" si="9"/>
        <v>4.60627765</v>
      </c>
      <c r="AB35" s="238">
        <f t="shared" si="9"/>
        <v>4.4952723000000008</v>
      </c>
      <c r="AC35" s="238">
        <f t="shared" si="9"/>
        <v>4.7767806000000004</v>
      </c>
      <c r="AD35" s="239">
        <f t="shared" si="9"/>
        <v>4.7767806000000004</v>
      </c>
    </row>
    <row r="36" spans="1:30" x14ac:dyDescent="0.25">
      <c r="A36" s="122" t="s">
        <v>80</v>
      </c>
      <c r="B36" s="118">
        <v>830</v>
      </c>
      <c r="C36" s="118">
        <v>890</v>
      </c>
      <c r="D36" s="118">
        <v>889</v>
      </c>
      <c r="E36" s="204">
        <v>1100</v>
      </c>
      <c r="F36" s="204">
        <v>1047</v>
      </c>
      <c r="G36" s="204">
        <v>1026</v>
      </c>
      <c r="H36" s="204">
        <v>1101</v>
      </c>
      <c r="I36" s="204">
        <v>1318</v>
      </c>
      <c r="J36" s="204">
        <v>1844</v>
      </c>
      <c r="K36" s="204">
        <v>2422</v>
      </c>
      <c r="L36" s="204">
        <v>2438</v>
      </c>
      <c r="M36" s="204">
        <v>2103</v>
      </c>
      <c r="N36" s="205">
        <v>1904</v>
      </c>
      <c r="O36" s="204">
        <f>Z46</f>
        <v>2216.6575662</v>
      </c>
      <c r="P36" s="204">
        <f>AA46</f>
        <v>2388.9400601000007</v>
      </c>
      <c r="Q36" s="204">
        <f>AB46</f>
        <v>2476.7078787</v>
      </c>
      <c r="R36" s="204">
        <f>AC46</f>
        <v>2625.1598901000002</v>
      </c>
      <c r="S36" s="205">
        <f>AD46</f>
        <v>2625.1598901000002</v>
      </c>
      <c r="Y36" s="122" t="s">
        <v>90</v>
      </c>
      <c r="Z36" s="238">
        <f t="shared" si="9"/>
        <v>60.333629999999999</v>
      </c>
      <c r="AA36" s="238">
        <f t="shared" si="9"/>
        <v>65.02286500000001</v>
      </c>
      <c r="AB36" s="238">
        <f t="shared" si="9"/>
        <v>67.411754999999999</v>
      </c>
      <c r="AC36" s="238">
        <f t="shared" si="9"/>
        <v>71.452365</v>
      </c>
      <c r="AD36" s="239">
        <f t="shared" si="9"/>
        <v>71.452365</v>
      </c>
    </row>
    <row r="37" spans="1:30" x14ac:dyDescent="0.25">
      <c r="A37" s="122" t="s">
        <v>71</v>
      </c>
      <c r="B37" s="204">
        <v>-259742</v>
      </c>
      <c r="C37" s="204">
        <v>-366835</v>
      </c>
      <c r="D37" s="204">
        <v>-419781</v>
      </c>
      <c r="E37" s="204">
        <v>-463229</v>
      </c>
      <c r="F37" s="204">
        <v>-506506</v>
      </c>
      <c r="G37" s="204">
        <v>-567844</v>
      </c>
      <c r="H37" s="204">
        <v>-644331</v>
      </c>
      <c r="I37" s="204">
        <v>-697641</v>
      </c>
      <c r="J37" s="204">
        <v>-986071</v>
      </c>
      <c r="K37" s="204">
        <v>-1449659</v>
      </c>
      <c r="L37" s="204">
        <v>-1634559</v>
      </c>
      <c r="M37" s="204">
        <v>-1599801</v>
      </c>
      <c r="N37" s="205">
        <v>-1772371</v>
      </c>
      <c r="O37" s="204"/>
      <c r="P37" s="204"/>
      <c r="Q37" s="204"/>
      <c r="R37" s="204"/>
      <c r="S37" s="205"/>
      <c r="Y37" s="122" t="s">
        <v>89</v>
      </c>
      <c r="Z37" s="238">
        <f t="shared" si="9"/>
        <v>23.430055000000003</v>
      </c>
      <c r="AA37" s="238">
        <f t="shared" si="9"/>
        <v>27.888001249999999</v>
      </c>
      <c r="AB37" s="238">
        <f t="shared" si="9"/>
        <v>30.110006250000005</v>
      </c>
      <c r="AC37" s="238">
        <f t="shared" si="9"/>
        <v>31.645859999999999</v>
      </c>
      <c r="AD37" s="239">
        <f t="shared" si="9"/>
        <v>31.645859999999999</v>
      </c>
    </row>
    <row r="38" spans="1:30" x14ac:dyDescent="0.25">
      <c r="A38" s="122" t="s">
        <v>79</v>
      </c>
      <c r="B38" s="118">
        <v>-660</v>
      </c>
      <c r="C38" s="118">
        <v>-680</v>
      </c>
      <c r="D38" s="118">
        <v>-661</v>
      </c>
      <c r="E38" s="118">
        <v>-859</v>
      </c>
      <c r="F38" s="118">
        <v>-679</v>
      </c>
      <c r="G38" s="118">
        <v>-674</v>
      </c>
      <c r="H38" s="118">
        <v>-717</v>
      </c>
      <c r="I38" s="118">
        <v>-776</v>
      </c>
      <c r="J38" s="118">
        <v>-982</v>
      </c>
      <c r="K38" s="204">
        <v>-1137</v>
      </c>
      <c r="L38" s="204">
        <v>-1248</v>
      </c>
      <c r="M38" s="204">
        <v>-1578</v>
      </c>
      <c r="N38" s="205">
        <v>-1226</v>
      </c>
      <c r="O38" s="204">
        <f>(O36-O39)*-1</f>
        <v>-1507.327145016</v>
      </c>
      <c r="P38" s="204">
        <f>(P36-P39)*-1</f>
        <v>-1624.4792408680005</v>
      </c>
      <c r="Q38" s="204">
        <f>(Q36-Q39)*-1</f>
        <v>-1684.161357516</v>
      </c>
      <c r="R38" s="204">
        <f>(R36-R39)*-1</f>
        <v>-1785.1087252680002</v>
      </c>
      <c r="S38" s="205">
        <f>(S36-S39)*-1</f>
        <v>-1785.1087252680002</v>
      </c>
      <c r="Y38" s="122"/>
      <c r="AD38" s="124"/>
    </row>
    <row r="39" spans="1:30" x14ac:dyDescent="0.25">
      <c r="A39" s="122" t="s">
        <v>78</v>
      </c>
      <c r="B39" s="118">
        <v>170</v>
      </c>
      <c r="C39" s="118">
        <v>210</v>
      </c>
      <c r="D39" s="118">
        <v>228</v>
      </c>
      <c r="E39" s="118">
        <v>241</v>
      </c>
      <c r="F39" s="118">
        <v>368</v>
      </c>
      <c r="G39" s="118">
        <v>352</v>
      </c>
      <c r="H39" s="118">
        <v>384</v>
      </c>
      <c r="I39" s="118">
        <v>542</v>
      </c>
      <c r="J39" s="118">
        <v>862</v>
      </c>
      <c r="K39" s="204">
        <v>1285</v>
      </c>
      <c r="L39" s="204">
        <v>1190</v>
      </c>
      <c r="M39" s="118">
        <v>525</v>
      </c>
      <c r="N39" s="124">
        <v>678</v>
      </c>
      <c r="O39" s="123">
        <f>O36*O40</f>
        <v>709.33042118399999</v>
      </c>
      <c r="P39" s="123">
        <f>P36*P40</f>
        <v>764.46081923200018</v>
      </c>
      <c r="Q39" s="123">
        <f>Q36*Q40</f>
        <v>792.54652118400008</v>
      </c>
      <c r="R39" s="123">
        <f>R36*R40</f>
        <v>840.05116483200004</v>
      </c>
      <c r="S39" s="210">
        <f>S36*S40</f>
        <v>840.05116483200004</v>
      </c>
      <c r="Y39" s="122"/>
      <c r="AD39" s="124"/>
    </row>
    <row r="40" spans="1:30" x14ac:dyDescent="0.25">
      <c r="A40" s="122" t="s">
        <v>68</v>
      </c>
      <c r="B40" s="206">
        <f t="shared" ref="B40:N40" si="10">B39/B36</f>
        <v>0.20481927710843373</v>
      </c>
      <c r="C40" s="206">
        <f t="shared" si="10"/>
        <v>0.23595505617977527</v>
      </c>
      <c r="D40" s="206">
        <f t="shared" si="10"/>
        <v>0.25646794150731156</v>
      </c>
      <c r="E40" s="206">
        <f t="shared" si="10"/>
        <v>0.21909090909090909</v>
      </c>
      <c r="F40" s="206">
        <f t="shared" si="10"/>
        <v>0.35148042024832854</v>
      </c>
      <c r="G40" s="206">
        <f t="shared" si="10"/>
        <v>0.34307992202729043</v>
      </c>
      <c r="H40" s="206">
        <f t="shared" si="10"/>
        <v>0.34877384196185285</v>
      </c>
      <c r="I40" s="206">
        <f t="shared" si="10"/>
        <v>0.41122913505311076</v>
      </c>
      <c r="J40" s="206">
        <f t="shared" si="10"/>
        <v>0.46746203904555317</v>
      </c>
      <c r="K40" s="206">
        <f t="shared" si="10"/>
        <v>0.53055326176713458</v>
      </c>
      <c r="L40" s="206">
        <f t="shared" si="10"/>
        <v>0.48810500410172275</v>
      </c>
      <c r="M40" s="206">
        <f t="shared" si="10"/>
        <v>0.24964336661911554</v>
      </c>
      <c r="N40" s="207">
        <f t="shared" si="10"/>
        <v>0.35609243697478993</v>
      </c>
      <c r="O40" s="206">
        <f>$B$42</f>
        <v>0.32</v>
      </c>
      <c r="P40" s="206">
        <f>$B$42</f>
        <v>0.32</v>
      </c>
      <c r="Q40" s="206">
        <f>$B$42</f>
        <v>0.32</v>
      </c>
      <c r="R40" s="206">
        <f>$B$42</f>
        <v>0.32</v>
      </c>
      <c r="S40" s="207">
        <f>$B$42</f>
        <v>0.32</v>
      </c>
      <c r="Y40" s="122" t="s">
        <v>88</v>
      </c>
      <c r="Z40" s="118">
        <v>2204.62</v>
      </c>
      <c r="AD40" s="124"/>
    </row>
    <row r="41" spans="1:30" x14ac:dyDescent="0.25">
      <c r="A41" s="122" t="s">
        <v>65</v>
      </c>
      <c r="B41" s="144">
        <f>MEDIAN(B40:N40)</f>
        <v>0.34877384196185285</v>
      </c>
      <c r="N41" s="124"/>
      <c r="S41" s="124"/>
      <c r="Y41" s="122" t="s">
        <v>87</v>
      </c>
      <c r="Z41" s="118">
        <v>36.74</v>
      </c>
      <c r="AD41" s="124"/>
    </row>
    <row r="42" spans="1:30" x14ac:dyDescent="0.25">
      <c r="A42" s="214" t="s">
        <v>77</v>
      </c>
      <c r="B42" s="215">
        <f>32%</f>
        <v>0.32</v>
      </c>
      <c r="N42" s="124"/>
      <c r="S42" s="124"/>
      <c r="Y42" s="122" t="s">
        <v>86</v>
      </c>
      <c r="Z42" s="118">
        <v>39.369999999999997</v>
      </c>
      <c r="AD42" s="124"/>
    </row>
    <row r="43" spans="1:30" x14ac:dyDescent="0.25">
      <c r="A43" s="122"/>
      <c r="N43" s="124"/>
      <c r="S43" s="124"/>
      <c r="Y43" s="122"/>
      <c r="AD43" s="124"/>
    </row>
    <row r="44" spans="1:30" ht="23.25" customHeight="1" thickBot="1" x14ac:dyDescent="0.3">
      <c r="A44" s="404" t="s">
        <v>82</v>
      </c>
      <c r="B44" s="405"/>
      <c r="C44" s="405"/>
      <c r="D44" s="405"/>
      <c r="E44" s="405"/>
      <c r="F44" s="405"/>
      <c r="G44" s="405"/>
      <c r="H44" s="405"/>
      <c r="I44" s="405"/>
      <c r="J44" s="405"/>
      <c r="K44" s="405"/>
      <c r="L44" s="405"/>
      <c r="M44" s="405"/>
      <c r="N44" s="406"/>
      <c r="S44" s="124"/>
      <c r="Y44" s="398" t="s">
        <v>266</v>
      </c>
      <c r="Z44" s="399"/>
      <c r="AA44" s="399"/>
      <c r="AB44" s="399"/>
      <c r="AC44" s="399"/>
      <c r="AD44" s="400"/>
    </row>
    <row r="45" spans="1:30" ht="15.75" thickTop="1" x14ac:dyDescent="0.25">
      <c r="A45" s="122" t="s">
        <v>81</v>
      </c>
      <c r="B45" s="204">
        <v>341161</v>
      </c>
      <c r="C45" s="204">
        <v>367671</v>
      </c>
      <c r="D45" s="204">
        <v>335695</v>
      </c>
      <c r="E45" s="204">
        <v>345691</v>
      </c>
      <c r="F45" s="204">
        <v>484912</v>
      </c>
      <c r="G45" s="204">
        <v>425900</v>
      </c>
      <c r="H45" s="204">
        <v>634644</v>
      </c>
      <c r="I45" s="204">
        <v>662840</v>
      </c>
      <c r="J45" s="204">
        <v>775925</v>
      </c>
      <c r="K45" s="204">
        <v>783768</v>
      </c>
      <c r="L45" s="204">
        <v>1071551</v>
      </c>
      <c r="M45" s="204">
        <v>658470</v>
      </c>
      <c r="N45" s="205">
        <v>1211592</v>
      </c>
      <c r="O45" s="204">
        <f>'Planted Area'!N8*AM9</f>
        <v>1219652.9082499999</v>
      </c>
      <c r="P45" s="204">
        <f>'Planted Area'!O8*AN9</f>
        <v>1246518.3570084949</v>
      </c>
      <c r="Q45" s="204">
        <f>'Planted Area'!P8*AO9</f>
        <v>1315388.4962332142</v>
      </c>
      <c r="R45" s="204">
        <f>'Planted Area'!Q8*AP9</f>
        <v>1388063.710650099</v>
      </c>
      <c r="S45" s="205">
        <f>'Planted Area'!R8*AQ9</f>
        <v>1464754.230663517</v>
      </c>
      <c r="Y45" s="122" t="s">
        <v>85</v>
      </c>
      <c r="Z45" s="123">
        <f t="shared" ref="Z45:AD47" si="11">Z35*$Z40</f>
        <v>9228.9865271669987</v>
      </c>
      <c r="AA45" s="123">
        <f t="shared" si="11"/>
        <v>10155.091832742999</v>
      </c>
      <c r="AB45" s="123">
        <f t="shared" si="11"/>
        <v>9910.3672180260019</v>
      </c>
      <c r="AC45" s="123">
        <f t="shared" si="11"/>
        <v>10530.986046372</v>
      </c>
      <c r="AD45" s="210">
        <f t="shared" si="11"/>
        <v>10530.986046372</v>
      </c>
    </row>
    <row r="46" spans="1:30" x14ac:dyDescent="0.25">
      <c r="A46" s="122" t="s">
        <v>75</v>
      </c>
      <c r="B46" s="204">
        <v>99224</v>
      </c>
      <c r="C46" s="204">
        <v>111950</v>
      </c>
      <c r="D46" s="204">
        <v>121877</v>
      </c>
      <c r="E46" s="204">
        <v>164514</v>
      </c>
      <c r="F46" s="204">
        <v>152733</v>
      </c>
      <c r="G46" s="204">
        <v>146151</v>
      </c>
      <c r="H46" s="204">
        <v>253376</v>
      </c>
      <c r="I46" s="204">
        <v>383504</v>
      </c>
      <c r="J46" s="204">
        <v>527282</v>
      </c>
      <c r="K46" s="204">
        <v>710473</v>
      </c>
      <c r="L46" s="204">
        <v>846036</v>
      </c>
      <c r="M46" s="204">
        <v>523883</v>
      </c>
      <c r="N46" s="205">
        <v>1035234</v>
      </c>
      <c r="O46" s="204"/>
      <c r="P46" s="204"/>
      <c r="Q46" s="204"/>
      <c r="R46" s="204"/>
      <c r="S46" s="205"/>
      <c r="Y46" s="122" t="s">
        <v>84</v>
      </c>
      <c r="Z46" s="123">
        <f t="shared" si="11"/>
        <v>2216.6575662</v>
      </c>
      <c r="AA46" s="123">
        <f t="shared" si="11"/>
        <v>2388.9400601000007</v>
      </c>
      <c r="AB46" s="123">
        <f t="shared" si="11"/>
        <v>2476.7078787</v>
      </c>
      <c r="AC46" s="123">
        <f t="shared" si="11"/>
        <v>2625.1598901000002</v>
      </c>
      <c r="AD46" s="210">
        <f t="shared" si="11"/>
        <v>2625.1598901000002</v>
      </c>
    </row>
    <row r="47" spans="1:30" x14ac:dyDescent="0.25">
      <c r="A47" s="122" t="s">
        <v>74</v>
      </c>
      <c r="B47" s="204"/>
      <c r="C47" s="204"/>
      <c r="D47" s="204">
        <v>-5258</v>
      </c>
      <c r="E47" s="204">
        <v>9171</v>
      </c>
      <c r="F47" s="204">
        <v>4809</v>
      </c>
      <c r="G47" s="204">
        <v>-8757</v>
      </c>
      <c r="H47" s="204">
        <v>-7833</v>
      </c>
      <c r="I47" s="204">
        <v>-23165</v>
      </c>
      <c r="J47" s="118">
        <v>-318</v>
      </c>
      <c r="K47" s="204">
        <v>39832</v>
      </c>
      <c r="L47" s="204">
        <v>118188</v>
      </c>
      <c r="M47" s="204">
        <v>-13284</v>
      </c>
      <c r="N47" s="205">
        <v>27727</v>
      </c>
      <c r="O47" s="204"/>
      <c r="P47" s="204"/>
      <c r="Q47" s="204"/>
      <c r="R47" s="204"/>
      <c r="S47" s="205"/>
      <c r="Y47" s="167" t="s">
        <v>83</v>
      </c>
      <c r="Z47" s="168">
        <f t="shared" si="11"/>
        <v>922.44126535000009</v>
      </c>
      <c r="AA47" s="168">
        <f t="shared" si="11"/>
        <v>1097.9506092124998</v>
      </c>
      <c r="AB47" s="168">
        <f t="shared" si="11"/>
        <v>1185.4309460625002</v>
      </c>
      <c r="AC47" s="168">
        <f t="shared" si="11"/>
        <v>1245.8975081999999</v>
      </c>
      <c r="AD47" s="240">
        <f t="shared" si="11"/>
        <v>1245.8975081999999</v>
      </c>
    </row>
    <row r="48" spans="1:30" x14ac:dyDescent="0.25">
      <c r="A48" s="122" t="s">
        <v>73</v>
      </c>
      <c r="B48" s="204"/>
      <c r="C48" s="204"/>
      <c r="D48" s="204">
        <v>116619</v>
      </c>
      <c r="E48" s="204">
        <v>173685</v>
      </c>
      <c r="F48" s="204">
        <v>157542</v>
      </c>
      <c r="G48" s="204">
        <v>137394</v>
      </c>
      <c r="H48" s="204">
        <v>245543</v>
      </c>
      <c r="I48" s="204">
        <v>360339</v>
      </c>
      <c r="J48" s="204">
        <v>526964</v>
      </c>
      <c r="K48" s="204">
        <v>750305</v>
      </c>
      <c r="L48" s="204">
        <v>964224</v>
      </c>
      <c r="M48" s="204">
        <v>510599</v>
      </c>
      <c r="N48" s="205">
        <v>1062961</v>
      </c>
      <c r="O48" s="204"/>
      <c r="P48" s="204"/>
      <c r="Q48" s="204"/>
      <c r="R48" s="204"/>
      <c r="S48" s="205"/>
    </row>
    <row r="49" spans="1:19" x14ac:dyDescent="0.25">
      <c r="A49" s="122" t="s">
        <v>80</v>
      </c>
      <c r="B49" s="118">
        <v>290</v>
      </c>
      <c r="C49" s="118">
        <v>300</v>
      </c>
      <c r="D49" s="118">
        <v>347</v>
      </c>
      <c r="E49" s="118">
        <v>502</v>
      </c>
      <c r="F49" s="118">
        <v>325</v>
      </c>
      <c r="G49" s="118">
        <v>323</v>
      </c>
      <c r="H49" s="118">
        <v>387</v>
      </c>
      <c r="I49" s="118">
        <v>544</v>
      </c>
      <c r="J49" s="118">
        <v>679</v>
      </c>
      <c r="K49" s="118">
        <v>957</v>
      </c>
      <c r="L49" s="118">
        <v>900</v>
      </c>
      <c r="M49" s="118">
        <v>775</v>
      </c>
      <c r="N49" s="124">
        <v>877</v>
      </c>
      <c r="O49" s="123">
        <f>Z47</f>
        <v>922.44126535000009</v>
      </c>
      <c r="P49" s="123">
        <f>AA47</f>
        <v>1097.9506092124998</v>
      </c>
      <c r="Q49" s="123">
        <f>AB47</f>
        <v>1185.4309460625002</v>
      </c>
      <c r="R49" s="123">
        <f>AC47</f>
        <v>1245.8975081999999</v>
      </c>
      <c r="S49" s="210">
        <f>AD47</f>
        <v>1245.8975081999999</v>
      </c>
    </row>
    <row r="50" spans="1:19" x14ac:dyDescent="0.25">
      <c r="A50" s="122" t="s">
        <v>71</v>
      </c>
      <c r="B50" s="204">
        <v>-90679</v>
      </c>
      <c r="C50" s="204">
        <v>-90674</v>
      </c>
      <c r="D50" s="204">
        <v>-81088</v>
      </c>
      <c r="E50" s="204">
        <v>-106401</v>
      </c>
      <c r="F50" s="204">
        <v>-128920</v>
      </c>
      <c r="G50" s="204">
        <v>-133109</v>
      </c>
      <c r="H50" s="204">
        <v>-198182</v>
      </c>
      <c r="I50" s="204">
        <v>-230112</v>
      </c>
      <c r="J50" s="204">
        <v>-428642</v>
      </c>
      <c r="K50" s="204">
        <v>-542399</v>
      </c>
      <c r="L50" s="204">
        <v>-693868</v>
      </c>
      <c r="M50" s="204">
        <v>-424994</v>
      </c>
      <c r="N50" s="205">
        <v>-678447</v>
      </c>
      <c r="O50" s="123"/>
      <c r="P50" s="123"/>
      <c r="Q50" s="123"/>
      <c r="R50" s="123"/>
      <c r="S50" s="210"/>
    </row>
    <row r="51" spans="1:19" x14ac:dyDescent="0.25">
      <c r="A51" s="122" t="s">
        <v>79</v>
      </c>
      <c r="B51" s="118">
        <v>-270</v>
      </c>
      <c r="C51" s="118">
        <v>-250</v>
      </c>
      <c r="D51" s="118">
        <v>-242</v>
      </c>
      <c r="E51" s="118">
        <v>-308</v>
      </c>
      <c r="F51" s="118">
        <v>-266</v>
      </c>
      <c r="G51" s="118">
        <v>-313</v>
      </c>
      <c r="H51" s="118">
        <v>-312</v>
      </c>
      <c r="I51" s="118">
        <v>-347</v>
      </c>
      <c r="J51" s="118">
        <v>-552</v>
      </c>
      <c r="K51" s="118">
        <v>-692</v>
      </c>
      <c r="L51" s="118">
        <v>-648</v>
      </c>
      <c r="M51" s="118">
        <v>-645</v>
      </c>
      <c r="N51" s="124">
        <v>-560</v>
      </c>
      <c r="O51" s="123">
        <f>(O49-O52)*-1</f>
        <v>-627.26006043799998</v>
      </c>
      <c r="P51" s="123">
        <f>(P49-P52)*-1</f>
        <v>-746.60641426449979</v>
      </c>
      <c r="Q51" s="123">
        <f>(Q49-Q52)*-1</f>
        <v>-806.09304332250008</v>
      </c>
      <c r="R51" s="123">
        <f>(R49-R52)*-1</f>
        <v>-847.21030557599988</v>
      </c>
      <c r="S51" s="210">
        <f>(S49-S52)*-1</f>
        <v>-847.21030557599988</v>
      </c>
    </row>
    <row r="52" spans="1:19" x14ac:dyDescent="0.25">
      <c r="A52" s="122" t="s">
        <v>78</v>
      </c>
      <c r="B52" s="118">
        <v>20</v>
      </c>
      <c r="C52" s="118">
        <v>50</v>
      </c>
      <c r="D52" s="118">
        <v>106</v>
      </c>
      <c r="E52" s="118">
        <v>195</v>
      </c>
      <c r="F52" s="118">
        <v>59</v>
      </c>
      <c r="G52" s="118">
        <v>10</v>
      </c>
      <c r="H52" s="204">
        <v>75</v>
      </c>
      <c r="I52" s="204">
        <v>197</v>
      </c>
      <c r="J52" s="118">
        <v>127</v>
      </c>
      <c r="K52" s="118">
        <v>265</v>
      </c>
      <c r="L52" s="118">
        <v>252</v>
      </c>
      <c r="M52" s="118">
        <v>131</v>
      </c>
      <c r="N52" s="124">
        <v>317</v>
      </c>
      <c r="O52" s="123">
        <f>O49*O53</f>
        <v>295.18120491200006</v>
      </c>
      <c r="P52" s="123">
        <f>P49*P53</f>
        <v>351.34419494799994</v>
      </c>
      <c r="Q52" s="123">
        <f>Q49*Q53</f>
        <v>379.33790274000006</v>
      </c>
      <c r="R52" s="123">
        <f>R49*R53</f>
        <v>398.68720262400001</v>
      </c>
      <c r="S52" s="210">
        <f>S49*S53</f>
        <v>398.68720262400001</v>
      </c>
    </row>
    <row r="53" spans="1:19" x14ac:dyDescent="0.25">
      <c r="A53" s="122" t="s">
        <v>68</v>
      </c>
      <c r="B53" s="206">
        <f t="shared" ref="B53:N53" si="12">B52/B49</f>
        <v>6.8965517241379309E-2</v>
      </c>
      <c r="C53" s="206">
        <f t="shared" si="12"/>
        <v>0.16666666666666666</v>
      </c>
      <c r="D53" s="206">
        <f t="shared" si="12"/>
        <v>0.30547550432276654</v>
      </c>
      <c r="E53" s="206">
        <f t="shared" si="12"/>
        <v>0.38844621513944222</v>
      </c>
      <c r="F53" s="206">
        <f t="shared" si="12"/>
        <v>0.18153846153846154</v>
      </c>
      <c r="G53" s="206">
        <f t="shared" si="12"/>
        <v>3.0959752321981424E-2</v>
      </c>
      <c r="H53" s="206">
        <f t="shared" si="12"/>
        <v>0.19379844961240311</v>
      </c>
      <c r="I53" s="206">
        <f t="shared" si="12"/>
        <v>0.36213235294117646</v>
      </c>
      <c r="J53" s="206">
        <f t="shared" si="12"/>
        <v>0.18703976435935199</v>
      </c>
      <c r="K53" s="206">
        <f t="shared" si="12"/>
        <v>0.2769070010449321</v>
      </c>
      <c r="L53" s="206">
        <f t="shared" si="12"/>
        <v>0.28000000000000003</v>
      </c>
      <c r="M53" s="206">
        <f t="shared" si="12"/>
        <v>0.16903225806451613</v>
      </c>
      <c r="N53" s="207">
        <f t="shared" si="12"/>
        <v>0.3614595210946408</v>
      </c>
      <c r="O53" s="206">
        <f>$B$55</f>
        <v>0.32</v>
      </c>
      <c r="P53" s="206">
        <f>$B$55</f>
        <v>0.32</v>
      </c>
      <c r="Q53" s="206">
        <f>$B$55</f>
        <v>0.32</v>
      </c>
      <c r="R53" s="206">
        <f>$B$55</f>
        <v>0.32</v>
      </c>
      <c r="S53" s="207">
        <f>$B$55</f>
        <v>0.32</v>
      </c>
    </row>
    <row r="54" spans="1:19" x14ac:dyDescent="0.25">
      <c r="A54" s="122" t="s">
        <v>65</v>
      </c>
      <c r="B54" s="144">
        <f>MEDIAN(B53:N53)</f>
        <v>0.19379844961240311</v>
      </c>
      <c r="N54" s="124"/>
      <c r="S54" s="124"/>
    </row>
    <row r="55" spans="1:19" x14ac:dyDescent="0.25">
      <c r="A55" s="214" t="s">
        <v>77</v>
      </c>
      <c r="B55" s="215">
        <f>0.32</f>
        <v>0.32</v>
      </c>
      <c r="D55" s="211"/>
      <c r="N55" s="124"/>
      <c r="S55" s="124"/>
    </row>
    <row r="56" spans="1:19" x14ac:dyDescent="0.25">
      <c r="A56" s="122"/>
      <c r="N56" s="124"/>
      <c r="S56" s="124"/>
    </row>
    <row r="57" spans="1:19" x14ac:dyDescent="0.25">
      <c r="A57" s="122"/>
      <c r="N57" s="124"/>
      <c r="S57" s="124"/>
    </row>
    <row r="58" spans="1:19" x14ac:dyDescent="0.25">
      <c r="A58" s="122"/>
      <c r="N58" s="124"/>
      <c r="S58" s="124"/>
    </row>
    <row r="59" spans="1:19" ht="18" customHeight="1" x14ac:dyDescent="0.25">
      <c r="A59" s="404" t="s">
        <v>63</v>
      </c>
      <c r="B59" s="405"/>
      <c r="C59" s="405"/>
      <c r="D59" s="405"/>
      <c r="E59" s="405"/>
      <c r="F59" s="405"/>
      <c r="G59" s="405"/>
      <c r="H59" s="405"/>
      <c r="I59" s="405"/>
      <c r="J59" s="405"/>
      <c r="K59" s="405"/>
      <c r="L59" s="405"/>
      <c r="M59" s="405"/>
      <c r="N59" s="406"/>
      <c r="S59" s="124"/>
    </row>
    <row r="60" spans="1:19" x14ac:dyDescent="0.25">
      <c r="A60" s="122" t="s">
        <v>76</v>
      </c>
      <c r="B60" s="118" t="s">
        <v>67</v>
      </c>
      <c r="C60" s="118" t="s">
        <v>67</v>
      </c>
      <c r="D60" s="118" t="s">
        <v>67</v>
      </c>
      <c r="E60" s="118" t="s">
        <v>67</v>
      </c>
      <c r="F60" s="118" t="s">
        <v>67</v>
      </c>
      <c r="G60" s="118" t="s">
        <v>67</v>
      </c>
      <c r="H60" s="118" t="s">
        <v>67</v>
      </c>
      <c r="I60" s="204">
        <v>13000</v>
      </c>
      <c r="J60" s="204">
        <v>13285</v>
      </c>
      <c r="K60" s="204">
        <v>24318</v>
      </c>
      <c r="L60" s="204">
        <v>30295</v>
      </c>
      <c r="M60" s="204">
        <v>42621</v>
      </c>
      <c r="N60" s="205">
        <v>63480</v>
      </c>
      <c r="O60" s="204">
        <f>'Planted Area'!N9*O70</f>
        <v>50046</v>
      </c>
      <c r="P60" s="204">
        <f>'Planted Area'!O9*P70</f>
        <v>49247.007014475908</v>
      </c>
      <c r="Q60" s="204">
        <f>'Planted Area'!P9*Q70</f>
        <v>51709.357365199699</v>
      </c>
      <c r="R60" s="204">
        <f>'Planted Area'!Q9*R70</f>
        <v>54294.825233459691</v>
      </c>
      <c r="S60" s="205">
        <f>'Planted Area'!R9*S70</f>
        <v>57009.566495132676</v>
      </c>
    </row>
    <row r="61" spans="1:19" x14ac:dyDescent="0.25">
      <c r="A61" s="122" t="s">
        <v>75</v>
      </c>
      <c r="B61" s="118" t="s">
        <v>67</v>
      </c>
      <c r="C61" s="118" t="s">
        <v>67</v>
      </c>
      <c r="D61" s="118" t="s">
        <v>67</v>
      </c>
      <c r="E61" s="118" t="s">
        <v>67</v>
      </c>
      <c r="F61" s="118" t="s">
        <v>67</v>
      </c>
      <c r="G61" s="118" t="s">
        <v>67</v>
      </c>
      <c r="H61" s="118" t="s">
        <v>67</v>
      </c>
      <c r="I61" s="204">
        <v>29528</v>
      </c>
      <c r="J61" s="204">
        <v>59377</v>
      </c>
      <c r="K61" s="204">
        <v>110862</v>
      </c>
      <c r="L61" s="204">
        <v>121007</v>
      </c>
      <c r="M61" s="204">
        <v>202280</v>
      </c>
      <c r="N61" s="205">
        <v>383851</v>
      </c>
      <c r="S61" s="124"/>
    </row>
    <row r="62" spans="1:19" x14ac:dyDescent="0.25">
      <c r="A62" s="122" t="s">
        <v>74</v>
      </c>
      <c r="B62" s="118" t="s">
        <v>67</v>
      </c>
      <c r="C62" s="118" t="s">
        <v>67</v>
      </c>
      <c r="D62" s="118" t="s">
        <v>67</v>
      </c>
      <c r="E62" s="118" t="s">
        <v>67</v>
      </c>
      <c r="F62" s="118" t="s">
        <v>67</v>
      </c>
      <c r="G62" s="118" t="s">
        <v>67</v>
      </c>
      <c r="H62" s="118" t="s">
        <v>67</v>
      </c>
      <c r="I62" s="204">
        <v>-3864</v>
      </c>
      <c r="J62" s="204">
        <v>1540</v>
      </c>
      <c r="K62" s="204">
        <v>1294</v>
      </c>
      <c r="L62" s="204">
        <v>15454</v>
      </c>
      <c r="M62" s="204">
        <v>-3999</v>
      </c>
      <c r="N62" s="205">
        <v>6177</v>
      </c>
      <c r="S62" s="124"/>
    </row>
    <row r="63" spans="1:19" x14ac:dyDescent="0.25">
      <c r="A63" s="122" t="s">
        <v>73</v>
      </c>
      <c r="B63" s="118" t="s">
        <v>67</v>
      </c>
      <c r="C63" s="118" t="s">
        <v>67</v>
      </c>
      <c r="D63" s="118" t="s">
        <v>67</v>
      </c>
      <c r="E63" s="118" t="s">
        <v>67</v>
      </c>
      <c r="F63" s="118" t="s">
        <v>67</v>
      </c>
      <c r="G63" s="118" t="s">
        <v>67</v>
      </c>
      <c r="H63" s="118" t="s">
        <v>67</v>
      </c>
      <c r="I63" s="204">
        <v>25664</v>
      </c>
      <c r="J63" s="204">
        <v>60917</v>
      </c>
      <c r="K63" s="204">
        <v>112156</v>
      </c>
      <c r="L63" s="204">
        <v>136461</v>
      </c>
      <c r="M63" s="204">
        <v>198281</v>
      </c>
      <c r="N63" s="205">
        <v>390028</v>
      </c>
      <c r="S63" s="124"/>
    </row>
    <row r="64" spans="1:19" x14ac:dyDescent="0.25">
      <c r="A64" s="122" t="s">
        <v>72</v>
      </c>
      <c r="B64" s="118" t="s">
        <v>67</v>
      </c>
      <c r="C64" s="118" t="s">
        <v>67</v>
      </c>
      <c r="D64" s="118" t="s">
        <v>67</v>
      </c>
      <c r="E64" s="118" t="s">
        <v>67</v>
      </c>
      <c r="F64" s="118" t="s">
        <v>67</v>
      </c>
      <c r="G64" s="118" t="s">
        <v>67</v>
      </c>
      <c r="H64" s="118" t="s">
        <v>67</v>
      </c>
      <c r="I64" s="204">
        <v>1974</v>
      </c>
      <c r="J64" s="204">
        <v>4585</v>
      </c>
      <c r="K64" s="204">
        <v>4612</v>
      </c>
      <c r="L64" s="204">
        <v>4504</v>
      </c>
      <c r="M64" s="204">
        <v>4652</v>
      </c>
      <c r="N64" s="205">
        <v>6144</v>
      </c>
      <c r="O64" s="204">
        <v>6144</v>
      </c>
      <c r="P64" s="204">
        <v>6144</v>
      </c>
      <c r="Q64" s="204">
        <v>6144</v>
      </c>
      <c r="R64" s="204">
        <v>6144</v>
      </c>
      <c r="S64" s="205">
        <v>6144</v>
      </c>
    </row>
    <row r="65" spans="1:19" x14ac:dyDescent="0.25">
      <c r="A65" s="122" t="s">
        <v>71</v>
      </c>
      <c r="B65" s="118" t="s">
        <v>67</v>
      </c>
      <c r="C65" s="118" t="s">
        <v>67</v>
      </c>
      <c r="D65" s="118" t="s">
        <v>67</v>
      </c>
      <c r="E65" s="118" t="s">
        <v>67</v>
      </c>
      <c r="F65" s="118" t="s">
        <v>67</v>
      </c>
      <c r="G65" s="118" t="s">
        <v>67</v>
      </c>
      <c r="H65" s="118" t="s">
        <v>67</v>
      </c>
      <c r="I65" s="204">
        <v>-25027</v>
      </c>
      <c r="J65" s="204">
        <v>-53800</v>
      </c>
      <c r="K65" s="204">
        <v>-119413</v>
      </c>
      <c r="L65" s="204">
        <v>-143966</v>
      </c>
      <c r="M65" s="204">
        <v>-184773</v>
      </c>
      <c r="N65" s="205">
        <v>-343489</v>
      </c>
      <c r="S65" s="124"/>
    </row>
    <row r="66" spans="1:19" x14ac:dyDescent="0.25">
      <c r="A66" s="122" t="s">
        <v>70</v>
      </c>
      <c r="B66" s="118" t="s">
        <v>67</v>
      </c>
      <c r="C66" s="118" t="s">
        <v>67</v>
      </c>
      <c r="D66" s="118" t="s">
        <v>67</v>
      </c>
      <c r="E66" s="118" t="s">
        <v>67</v>
      </c>
      <c r="F66" s="118" t="s">
        <v>67</v>
      </c>
      <c r="G66" s="118" t="s">
        <v>67</v>
      </c>
      <c r="H66" s="118" t="s">
        <v>67</v>
      </c>
      <c r="I66" s="204">
        <v>-1925</v>
      </c>
      <c r="J66" s="204">
        <v>-4050</v>
      </c>
      <c r="K66" s="204">
        <v>-4910</v>
      </c>
      <c r="L66" s="204">
        <v>-4752</v>
      </c>
      <c r="M66" s="204">
        <v>-4335</v>
      </c>
      <c r="N66" s="205">
        <v>-5411</v>
      </c>
      <c r="O66" s="204">
        <v>-5411</v>
      </c>
      <c r="P66" s="204">
        <v>-5411</v>
      </c>
      <c r="Q66" s="204">
        <v>-5411</v>
      </c>
      <c r="R66" s="204">
        <v>-5411</v>
      </c>
      <c r="S66" s="205">
        <v>-5411</v>
      </c>
    </row>
    <row r="67" spans="1:19" x14ac:dyDescent="0.25">
      <c r="A67" s="122" t="s">
        <v>69</v>
      </c>
      <c r="B67" s="118" t="s">
        <v>67</v>
      </c>
      <c r="C67" s="118" t="s">
        <v>67</v>
      </c>
      <c r="D67" s="118" t="s">
        <v>67</v>
      </c>
      <c r="E67" s="118" t="s">
        <v>67</v>
      </c>
      <c r="F67" s="118" t="s">
        <v>67</v>
      </c>
      <c r="G67" s="118" t="s">
        <v>67</v>
      </c>
      <c r="H67" s="118" t="s">
        <v>67</v>
      </c>
      <c r="I67" s="118">
        <v>49</v>
      </c>
      <c r="J67" s="118">
        <v>535</v>
      </c>
      <c r="K67" s="118">
        <v>-298</v>
      </c>
      <c r="L67" s="118">
        <v>-248</v>
      </c>
      <c r="M67" s="118">
        <v>317</v>
      </c>
      <c r="N67" s="124">
        <v>733</v>
      </c>
      <c r="O67" s="118">
        <v>733</v>
      </c>
      <c r="P67" s="118">
        <v>733</v>
      </c>
      <c r="Q67" s="118">
        <v>733</v>
      </c>
      <c r="R67" s="118">
        <v>733</v>
      </c>
      <c r="S67" s="124">
        <v>733</v>
      </c>
    </row>
    <row r="68" spans="1:19" x14ac:dyDescent="0.25">
      <c r="A68" s="122" t="s">
        <v>68</v>
      </c>
      <c r="B68" s="118" t="s">
        <v>67</v>
      </c>
      <c r="C68" s="118" t="s">
        <v>67</v>
      </c>
      <c r="D68" s="118" t="s">
        <v>67</v>
      </c>
      <c r="E68" s="118" t="s">
        <v>67</v>
      </c>
      <c r="F68" s="118" t="s">
        <v>67</v>
      </c>
      <c r="G68" s="118" t="s">
        <v>67</v>
      </c>
      <c r="H68" s="118" t="s">
        <v>67</v>
      </c>
      <c r="I68" s="206">
        <f t="shared" ref="I68:S68" si="13">I67/I64</f>
        <v>2.4822695035460994E-2</v>
      </c>
      <c r="J68" s="206">
        <f t="shared" si="13"/>
        <v>0.11668484187568157</v>
      </c>
      <c r="K68" s="206">
        <f t="shared" si="13"/>
        <v>-6.4614050303555937E-2</v>
      </c>
      <c r="L68" s="206">
        <f t="shared" si="13"/>
        <v>-5.5062166962699825E-2</v>
      </c>
      <c r="M68" s="206">
        <f t="shared" si="13"/>
        <v>6.8142734307824596E-2</v>
      </c>
      <c r="N68" s="207">
        <f t="shared" si="13"/>
        <v>0.11930338541666667</v>
      </c>
      <c r="O68" s="206">
        <f t="shared" si="13"/>
        <v>0.11930338541666667</v>
      </c>
      <c r="P68" s="206">
        <f t="shared" si="13"/>
        <v>0.11930338541666667</v>
      </c>
      <c r="Q68" s="206">
        <f t="shared" si="13"/>
        <v>0.11930338541666667</v>
      </c>
      <c r="R68" s="206">
        <f t="shared" si="13"/>
        <v>0.11930338541666667</v>
      </c>
      <c r="S68" s="207">
        <f t="shared" si="13"/>
        <v>0.11930338541666667</v>
      </c>
    </row>
    <row r="69" spans="1:19" x14ac:dyDescent="0.25">
      <c r="A69" s="122"/>
      <c r="N69" s="124"/>
      <c r="S69" s="124"/>
    </row>
    <row r="70" spans="1:19" x14ac:dyDescent="0.25">
      <c r="A70" s="122" t="s">
        <v>66</v>
      </c>
      <c r="I70" s="194">
        <f>I60/'Planted Area'!I9</f>
        <v>3.6868973340896201</v>
      </c>
      <c r="J70" s="194">
        <f>J60/'Planted Area'!J9</f>
        <v>2.6936334144363343</v>
      </c>
      <c r="K70" s="194">
        <f>K60/'Planted Area'!K9</f>
        <v>6.137809187279152</v>
      </c>
      <c r="L70" s="194">
        <f>L60/'Planted Area'!L9</f>
        <v>5.7181955454888636</v>
      </c>
      <c r="M70" s="194">
        <f>M60/'Planted Area'!M9</f>
        <v>7.6190561315695389</v>
      </c>
      <c r="N70" s="195">
        <f>N60/'Planted Area'!N9</f>
        <v>7.6105982496103586</v>
      </c>
      <c r="O70" s="118">
        <f>$B$72</f>
        <v>6</v>
      </c>
      <c r="P70" s="118">
        <f>$B$72</f>
        <v>6</v>
      </c>
      <c r="Q70" s="118">
        <f>$B$72</f>
        <v>6</v>
      </c>
      <c r="R70" s="118">
        <f>$B$72</f>
        <v>6</v>
      </c>
      <c r="S70" s="124">
        <f>$B$72</f>
        <v>6</v>
      </c>
    </row>
    <row r="71" spans="1:19" x14ac:dyDescent="0.25">
      <c r="A71" s="122" t="s">
        <v>65</v>
      </c>
      <c r="B71" s="118">
        <f>MEDIAN(B70:N70)</f>
        <v>5.9280023663840078</v>
      </c>
      <c r="N71" s="124"/>
      <c r="S71" s="124"/>
    </row>
    <row r="72" spans="1:19" x14ac:dyDescent="0.25">
      <c r="A72" s="212" t="s">
        <v>66</v>
      </c>
      <c r="B72" s="213">
        <v>6</v>
      </c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8"/>
      <c r="O72" s="197"/>
      <c r="P72" s="197"/>
      <c r="Q72" s="197"/>
      <c r="R72" s="197"/>
      <c r="S72" s="198"/>
    </row>
  </sheetData>
  <mergeCells count="11">
    <mergeCell ref="A59:N59"/>
    <mergeCell ref="A1:S1"/>
    <mergeCell ref="A17:N17"/>
    <mergeCell ref="A4:N4"/>
    <mergeCell ref="A31:N31"/>
    <mergeCell ref="A44:N44"/>
    <mergeCell ref="Y44:AD44"/>
    <mergeCell ref="Y1:AQ1"/>
    <mergeCell ref="Y27:AD27"/>
    <mergeCell ref="Y32:AD32"/>
    <mergeCell ref="Y24:AD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4DDB4-8F55-4632-8EA7-8AB72CB20A06}">
  <sheetPr>
    <tabColor rgb="FF0D5D3F"/>
  </sheetPr>
  <dimension ref="A1:S30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28" sqref="A28:B28"/>
    </sheetView>
  </sheetViews>
  <sheetFormatPr defaultRowHeight="15" x14ac:dyDescent="0.25"/>
  <cols>
    <col min="1" max="1" width="46.7109375" style="118" bestFit="1" customWidth="1"/>
    <col min="2" max="13" width="12.42578125" style="118" bestFit="1" customWidth="1"/>
    <col min="14" max="14" width="13" style="118" bestFit="1" customWidth="1"/>
    <col min="15" max="19" width="11.42578125" style="118" customWidth="1"/>
    <col min="20" max="16384" width="9.140625" style="118"/>
  </cols>
  <sheetData>
    <row r="1" spans="1:19" ht="19.5" customHeight="1" x14ac:dyDescent="0.25">
      <c r="A1" s="389" t="s">
        <v>253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1"/>
    </row>
    <row r="2" spans="1:19" x14ac:dyDescent="0.25">
      <c r="A2" s="175"/>
      <c r="B2" s="176">
        <v>2013</v>
      </c>
      <c r="C2" s="176">
        <v>2014</v>
      </c>
      <c r="D2" s="176">
        <v>2015</v>
      </c>
      <c r="E2" s="176">
        <v>2016</v>
      </c>
      <c r="F2" s="176">
        <v>2017</v>
      </c>
      <c r="G2" s="176">
        <v>2018</v>
      </c>
      <c r="H2" s="176">
        <v>2019</v>
      </c>
      <c r="I2" s="176">
        <v>2020</v>
      </c>
      <c r="J2" s="176">
        <v>2021</v>
      </c>
      <c r="K2" s="176">
        <v>2022</v>
      </c>
      <c r="L2" s="176">
        <v>2023</v>
      </c>
      <c r="M2" s="176">
        <v>2024</v>
      </c>
      <c r="N2" s="177">
        <v>2025</v>
      </c>
      <c r="O2" s="176">
        <v>2026</v>
      </c>
      <c r="P2" s="176">
        <v>2027</v>
      </c>
      <c r="Q2" s="176">
        <v>2028</v>
      </c>
      <c r="R2" s="176">
        <v>2029</v>
      </c>
      <c r="S2" s="177">
        <v>2030</v>
      </c>
    </row>
    <row r="3" spans="1:19" x14ac:dyDescent="0.25">
      <c r="A3" s="175"/>
      <c r="B3" s="118" t="s">
        <v>256</v>
      </c>
      <c r="C3" s="118" t="s">
        <v>256</v>
      </c>
      <c r="D3" s="118" t="s">
        <v>256</v>
      </c>
      <c r="E3" s="118" t="s">
        <v>256</v>
      </c>
      <c r="F3" s="118" t="s">
        <v>256</v>
      </c>
      <c r="G3" s="118" t="s">
        <v>256</v>
      </c>
      <c r="H3" s="118" t="s">
        <v>256</v>
      </c>
      <c r="I3" s="118" t="s">
        <v>256</v>
      </c>
      <c r="J3" s="118" t="s">
        <v>256</v>
      </c>
      <c r="K3" s="118" t="s">
        <v>256</v>
      </c>
      <c r="L3" s="118" t="s">
        <v>256</v>
      </c>
      <c r="M3" s="118" t="s">
        <v>256</v>
      </c>
      <c r="N3" s="124" t="s">
        <v>256</v>
      </c>
      <c r="O3" s="118" t="s">
        <v>257</v>
      </c>
      <c r="P3" s="118" t="s">
        <v>257</v>
      </c>
      <c r="Q3" s="118" t="s">
        <v>257</v>
      </c>
      <c r="R3" s="118" t="s">
        <v>257</v>
      </c>
      <c r="S3" s="118" t="s">
        <v>257</v>
      </c>
    </row>
    <row r="4" spans="1:19" x14ac:dyDescent="0.25">
      <c r="A4" s="175" t="s">
        <v>19</v>
      </c>
      <c r="B4" s="106">
        <f>'Balance Sheet'!B53+'Balance Sheet'!B39</f>
        <v>1170289</v>
      </c>
      <c r="C4" s="106">
        <f>'Balance Sheet'!C53+'Balance Sheet'!C39</f>
        <v>1331976</v>
      </c>
      <c r="D4" s="106">
        <f>'Balance Sheet'!D53+'Balance Sheet'!D39</f>
        <v>1878877</v>
      </c>
      <c r="E4" s="106">
        <f>'Balance Sheet'!E53+'Balance Sheet'!E39</f>
        <v>1901245</v>
      </c>
      <c r="F4" s="106">
        <f>'Balance Sheet'!F53+'Balance Sheet'!F39</f>
        <v>1589174</v>
      </c>
      <c r="G4" s="106">
        <f>'Balance Sheet'!G53+'Balance Sheet'!G39</f>
        <v>1605071</v>
      </c>
      <c r="H4" s="106">
        <f>'Balance Sheet'!H53+'Balance Sheet'!H39</f>
        <v>1859766</v>
      </c>
      <c r="I4" s="106">
        <f>'Balance Sheet'!I53+'Balance Sheet'!I39</f>
        <v>2417283</v>
      </c>
      <c r="J4" s="106">
        <f>'Balance Sheet'!J53+'Balance Sheet'!J39</f>
        <v>2587759</v>
      </c>
      <c r="K4" s="106">
        <f>'Balance Sheet'!K53+'Balance Sheet'!K39</f>
        <v>3454271</v>
      </c>
      <c r="L4" s="106">
        <f>'Balance Sheet'!L53+'Balance Sheet'!L39</f>
        <v>4393379</v>
      </c>
      <c r="M4" s="106">
        <f>'Balance Sheet'!M53+'Balance Sheet'!M39</f>
        <v>5598404</v>
      </c>
      <c r="N4" s="107">
        <f>'Balance Sheet'!N53+'Balance Sheet'!N39</f>
        <v>7728284</v>
      </c>
      <c r="O4" s="106">
        <f>N4*(1+O5)+O15</f>
        <v>7728284</v>
      </c>
      <c r="P4" s="106">
        <f>O4*(1+P5)+P15</f>
        <v>7728284</v>
      </c>
      <c r="Q4" s="106">
        <f>P4*(1+Q5)+Q15</f>
        <v>7728284</v>
      </c>
      <c r="R4" s="106">
        <f>Q4*(1+R5)+R15</f>
        <v>7728284</v>
      </c>
      <c r="S4" s="107">
        <f>R4*(1+S5)+S15</f>
        <v>7728284</v>
      </c>
    </row>
    <row r="5" spans="1:19" x14ac:dyDescent="0.25">
      <c r="A5" s="175" t="s">
        <v>18</v>
      </c>
      <c r="B5" s="106"/>
      <c r="C5" s="178">
        <f t="shared" ref="C5:N5" si="0">(C4-B4)/B4</f>
        <v>0.13815989042022953</v>
      </c>
      <c r="D5" s="178">
        <f t="shared" si="0"/>
        <v>0.41059373442164121</v>
      </c>
      <c r="E5" s="178">
        <f t="shared" si="0"/>
        <v>1.1904983668435986E-2</v>
      </c>
      <c r="F5" s="178">
        <f t="shared" si="0"/>
        <v>-0.16414033961956506</v>
      </c>
      <c r="G5" s="178">
        <f t="shared" si="0"/>
        <v>1.0003309895580974E-2</v>
      </c>
      <c r="H5" s="178">
        <f t="shared" si="0"/>
        <v>0.15868145396683386</v>
      </c>
      <c r="I5" s="178">
        <f t="shared" si="0"/>
        <v>0.29977803659170027</v>
      </c>
      <c r="J5" s="178">
        <f t="shared" si="0"/>
        <v>7.0523807100782154E-2</v>
      </c>
      <c r="K5" s="178">
        <f t="shared" si="0"/>
        <v>0.33485034734687424</v>
      </c>
      <c r="L5" s="178">
        <f t="shared" si="0"/>
        <v>0.27186865188052706</v>
      </c>
      <c r="M5" s="178">
        <f t="shared" si="0"/>
        <v>0.27428205033073633</v>
      </c>
      <c r="N5" s="179">
        <f t="shared" si="0"/>
        <v>0.38044414086586104</v>
      </c>
      <c r="O5" s="178"/>
      <c r="P5" s="178"/>
      <c r="Q5" s="178"/>
      <c r="R5" s="178"/>
      <c r="S5" s="179"/>
    </row>
    <row r="6" spans="1:19" x14ac:dyDescent="0.25">
      <c r="A6" s="175" t="s">
        <v>279</v>
      </c>
      <c r="B6" s="156" cm="1">
        <f t="array" ref="B6">GEOMEAN(C5:N5+1)-1</f>
        <v>0.17035018787795586</v>
      </c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9"/>
      <c r="O6" s="178"/>
      <c r="P6" s="178"/>
      <c r="Q6" s="178"/>
      <c r="R6" s="178"/>
      <c r="S6" s="179"/>
    </row>
    <row r="7" spans="1:19" x14ac:dyDescent="0.25">
      <c r="A7" s="175" t="str" cm="1">
        <f t="array" ref="A7:N7">'Income Statement'!A52:N52</f>
        <v>Interest</v>
      </c>
      <c r="B7" s="106">
        <v>-36171</v>
      </c>
      <c r="C7" s="106">
        <v>-68098</v>
      </c>
      <c r="D7" s="106">
        <v>35859</v>
      </c>
      <c r="E7" s="106">
        <v>-194915</v>
      </c>
      <c r="F7" s="106">
        <v>-94074</v>
      </c>
      <c r="G7" s="106">
        <v>-77661</v>
      </c>
      <c r="H7" s="106">
        <v>-101197</v>
      </c>
      <c r="I7" s="106">
        <v>-53636</v>
      </c>
      <c r="J7" s="106">
        <v>-98269</v>
      </c>
      <c r="K7" s="106">
        <v>-459171</v>
      </c>
      <c r="L7" s="106">
        <v>-454331</v>
      </c>
      <c r="M7" s="106">
        <v>-517399</v>
      </c>
      <c r="N7" s="107">
        <v>-827999</v>
      </c>
      <c r="O7" s="106">
        <f>N4*O8</f>
        <v>-826926.38800000004</v>
      </c>
      <c r="P7" s="106">
        <f>O4*P8</f>
        <v>-826926.38800000004</v>
      </c>
      <c r="Q7" s="106">
        <f>P4*Q8</f>
        <v>-826926.38800000004</v>
      </c>
      <c r="R7" s="106">
        <f>Q4*R8</f>
        <v>-826926.38800000004</v>
      </c>
      <c r="S7" s="107">
        <f>R4*S8</f>
        <v>-826926.38800000004</v>
      </c>
    </row>
    <row r="8" spans="1:19" x14ac:dyDescent="0.25">
      <c r="A8" s="180" t="s">
        <v>255</v>
      </c>
      <c r="B8" s="181">
        <f t="shared" ref="B8:N8" si="1">B7/B4</f>
        <v>-3.0907750136931988E-2</v>
      </c>
      <c r="C8" s="181">
        <f t="shared" si="1"/>
        <v>-5.1125545805630133E-2</v>
      </c>
      <c r="D8" s="181">
        <f t="shared" si="1"/>
        <v>1.9085336613306778E-2</v>
      </c>
      <c r="E8" s="181">
        <f t="shared" si="1"/>
        <v>-0.10251966474599539</v>
      </c>
      <c r="F8" s="181">
        <f t="shared" si="1"/>
        <v>-5.9196790282247252E-2</v>
      </c>
      <c r="G8" s="181">
        <f t="shared" si="1"/>
        <v>-4.8384775502142895E-2</v>
      </c>
      <c r="H8" s="181">
        <f t="shared" si="1"/>
        <v>-5.4413834858794065E-2</v>
      </c>
      <c r="I8" s="181">
        <f t="shared" si="1"/>
        <v>-2.21885480516762E-2</v>
      </c>
      <c r="J8" s="181">
        <f t="shared" si="1"/>
        <v>-3.7974556363247119E-2</v>
      </c>
      <c r="K8" s="181">
        <f t="shared" si="1"/>
        <v>-0.13292848187070441</v>
      </c>
      <c r="L8" s="181">
        <f t="shared" si="1"/>
        <v>-0.10341265800196159</v>
      </c>
      <c r="M8" s="181">
        <f t="shared" si="1"/>
        <v>-9.2419017991556163E-2</v>
      </c>
      <c r="N8" s="182">
        <f t="shared" si="1"/>
        <v>-0.10713879044817712</v>
      </c>
      <c r="O8" s="181">
        <f>$B$10*-1</f>
        <v>-0.107</v>
      </c>
      <c r="P8" s="181">
        <f t="shared" ref="P8:S8" si="2">$B$10*-1</f>
        <v>-0.107</v>
      </c>
      <c r="Q8" s="181">
        <f t="shared" si="2"/>
        <v>-0.107</v>
      </c>
      <c r="R8" s="181">
        <f t="shared" si="2"/>
        <v>-0.107</v>
      </c>
      <c r="S8" s="181">
        <f t="shared" si="2"/>
        <v>-0.107</v>
      </c>
    </row>
    <row r="9" spans="1:19" x14ac:dyDescent="0.25">
      <c r="A9" s="180"/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2"/>
      <c r="O9" s="181"/>
      <c r="P9" s="181"/>
      <c r="Q9" s="181"/>
      <c r="R9" s="181"/>
      <c r="S9" s="182"/>
    </row>
    <row r="10" spans="1:19" x14ac:dyDescent="0.25">
      <c r="A10" s="183" t="s">
        <v>254</v>
      </c>
      <c r="B10" s="184">
        <v>0.107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2"/>
      <c r="O10" s="181"/>
      <c r="P10" s="181"/>
      <c r="Q10" s="181"/>
      <c r="R10" s="181"/>
      <c r="S10" s="182"/>
    </row>
    <row r="11" spans="1:19" x14ac:dyDescent="0.25">
      <c r="A11" s="175"/>
      <c r="N11" s="124"/>
      <c r="S11" s="124"/>
    </row>
    <row r="12" spans="1:19" x14ac:dyDescent="0.25">
      <c r="A12" s="175" t="s">
        <v>7</v>
      </c>
      <c r="B12" s="185">
        <f>'Income Statement'!B65/'Income Statement'!B61*-1</f>
        <v>0.23076984329213912</v>
      </c>
      <c r="C12" s="185">
        <f>'Income Statement'!C65/'Income Statement'!C61*-1</f>
        <v>0.21251585813564461</v>
      </c>
      <c r="D12" s="185">
        <f>'Income Statement'!D65/'Income Statement'!D61*-1</f>
        <v>0.27291874182437864</v>
      </c>
      <c r="E12" s="185">
        <f>'Income Statement'!E65/'Income Statement'!E61*-1</f>
        <v>4.7589521749579431</v>
      </c>
      <c r="F12" s="185">
        <f>'Income Statement'!F65/'Income Statement'!F61*-1</f>
        <v>0.26293538793189486</v>
      </c>
      <c r="G12" s="185">
        <f>'Income Statement'!G65/'Income Statement'!G61*-1</f>
        <v>0.30522269566094268</v>
      </c>
      <c r="H12" s="185">
        <f>'Income Statement'!H65/'Income Statement'!H61*-1</f>
        <v>0.24024627286802264</v>
      </c>
      <c r="I12" s="185">
        <f>'Income Statement'!I65/'Income Statement'!I61*-1</f>
        <v>0.2586131344496358</v>
      </c>
      <c r="J12" s="185">
        <f>'Income Statement'!J65/'Income Statement'!J61*-1</f>
        <v>0.27247406893029863</v>
      </c>
      <c r="K12" s="185">
        <f>'Income Statement'!K65/'Income Statement'!K61*-1</f>
        <v>0.25609847976126915</v>
      </c>
      <c r="L12" s="185">
        <f>'Income Statement'!L65/'Income Statement'!L61*-1</f>
        <v>0.23361698824663679</v>
      </c>
      <c r="M12" s="185">
        <f>'Income Statement'!M65/'Income Statement'!M61*-1</f>
        <v>6.3189153238509738E-2</v>
      </c>
      <c r="N12" s="186">
        <f>'Income Statement'!N65/'Income Statement'!N61*-1</f>
        <v>0.20802578114053524</v>
      </c>
      <c r="S12" s="124"/>
    </row>
    <row r="13" spans="1:19" x14ac:dyDescent="0.25">
      <c r="A13" s="187" t="s">
        <v>17</v>
      </c>
      <c r="B13" s="185">
        <f>AVERAGE(B12:D12,F12:L12,N12)</f>
        <v>0.25031247747649071</v>
      </c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6"/>
      <c r="S13" s="124"/>
    </row>
    <row r="14" spans="1:19" x14ac:dyDescent="0.25">
      <c r="A14" s="175"/>
      <c r="N14" s="124"/>
      <c r="S14" s="124"/>
    </row>
    <row r="15" spans="1:19" x14ac:dyDescent="0.25">
      <c r="A15" s="175" t="s">
        <v>16</v>
      </c>
      <c r="D15" s="188"/>
      <c r="N15" s="124"/>
      <c r="O15" s="106">
        <f>IF(DCF!B22&lt;0,DCF!B22*-1,0)</f>
        <v>0</v>
      </c>
      <c r="P15" s="106">
        <f>IF(DCF!C22&lt;0,DCF!C22*-1,0)</f>
        <v>0</v>
      </c>
      <c r="Q15" s="106">
        <f>IF(DCF!D22&lt;0,DCF!D22*-1,0)</f>
        <v>0</v>
      </c>
      <c r="R15" s="106">
        <f>IF(DCF!E22&lt;0,DCF!E22*-1,0)</f>
        <v>0</v>
      </c>
      <c r="S15" s="107">
        <f>IF(DCF!F22&lt;0,DCF!F22*-1,0)</f>
        <v>0</v>
      </c>
    </row>
    <row r="16" spans="1:19" x14ac:dyDescent="0.25">
      <c r="A16" s="175"/>
      <c r="N16" s="189"/>
      <c r="S16" s="124"/>
    </row>
    <row r="17" spans="1:19" x14ac:dyDescent="0.25">
      <c r="A17" s="175"/>
      <c r="N17" s="124"/>
      <c r="S17" s="124"/>
    </row>
    <row r="18" spans="1:19" x14ac:dyDescent="0.25">
      <c r="A18" s="190" t="s">
        <v>230</v>
      </c>
      <c r="B18" s="108">
        <v>4.4889999999999999E-2</v>
      </c>
      <c r="N18" s="124"/>
      <c r="S18" s="124"/>
    </row>
    <row r="19" spans="1:19" x14ac:dyDescent="0.25">
      <c r="A19" s="190" t="s">
        <v>280</v>
      </c>
      <c r="B19" s="108">
        <v>4.2299999999999997E-2</v>
      </c>
      <c r="N19" s="124"/>
      <c r="S19" s="124"/>
    </row>
    <row r="20" spans="1:19" x14ac:dyDescent="0.25">
      <c r="A20" s="190" t="s">
        <v>231</v>
      </c>
      <c r="B20" s="108">
        <v>2.2800000000000001E-2</v>
      </c>
      <c r="N20" s="124"/>
      <c r="S20" s="124"/>
    </row>
    <row r="21" spans="1:19" x14ac:dyDescent="0.25">
      <c r="A21" s="175"/>
      <c r="N21" s="124"/>
      <c r="S21" s="124"/>
    </row>
    <row r="22" spans="1:19" x14ac:dyDescent="0.25">
      <c r="A22" s="175"/>
      <c r="N22" s="124"/>
      <c r="S22" s="124"/>
    </row>
    <row r="23" spans="1:19" x14ac:dyDescent="0.25">
      <c r="A23" s="175" t="s">
        <v>281</v>
      </c>
      <c r="B23" s="191">
        <f t="shared" ref="B23:S23" si="3">1-B24</f>
        <v>0.35385027061349139</v>
      </c>
      <c r="C23" s="191">
        <f t="shared" si="3"/>
        <v>0.35757898557416623</v>
      </c>
      <c r="D23" s="191">
        <f t="shared" si="3"/>
        <v>0.43990058860163794</v>
      </c>
      <c r="E23" s="191">
        <f t="shared" si="3"/>
        <v>0.41968874630777786</v>
      </c>
      <c r="F23" s="191">
        <f t="shared" si="3"/>
        <v>0.37035041474005714</v>
      </c>
      <c r="G23" s="191">
        <f t="shared" si="3"/>
        <v>0.36479126794244776</v>
      </c>
      <c r="H23" s="191">
        <f t="shared" si="3"/>
        <v>0.38390801892780813</v>
      </c>
      <c r="I23" s="191">
        <f t="shared" si="3"/>
        <v>0.43410330808334308</v>
      </c>
      <c r="J23" s="191">
        <f t="shared" si="3"/>
        <v>0.40425788181010669</v>
      </c>
      <c r="K23" s="191">
        <f t="shared" si="3"/>
        <v>0.4137066029891131</v>
      </c>
      <c r="L23" s="191">
        <f t="shared" si="3"/>
        <v>0.45608099831286386</v>
      </c>
      <c r="M23" s="191">
        <f t="shared" si="3"/>
        <v>0.57722485409833579</v>
      </c>
      <c r="N23" s="192">
        <f t="shared" si="3"/>
        <v>0.57754246477516502</v>
      </c>
      <c r="O23" s="191">
        <f t="shared" si="3"/>
        <v>0.57195294985303424</v>
      </c>
      <c r="P23" s="191">
        <f t="shared" si="3"/>
        <v>0.5628754693266208</v>
      </c>
      <c r="Q23" s="191">
        <f t="shared" si="3"/>
        <v>0.55304327910661755</v>
      </c>
      <c r="R23" s="191">
        <f t="shared" si="3"/>
        <v>0.54151988777784044</v>
      </c>
      <c r="S23" s="192">
        <f t="shared" si="3"/>
        <v>0.52976331865945325</v>
      </c>
    </row>
    <row r="24" spans="1:19" x14ac:dyDescent="0.25">
      <c r="A24" s="175" t="s">
        <v>282</v>
      </c>
      <c r="B24" s="191">
        <f>'Balance Sheet'!B72/(B4+'Balance Sheet'!B72)</f>
        <v>0.64614972938650861</v>
      </c>
      <c r="C24" s="191">
        <f>'Balance Sheet'!C72/(C4+'Balance Sheet'!C72)</f>
        <v>0.64242101442583377</v>
      </c>
      <c r="D24" s="191">
        <f>'Balance Sheet'!D72/(D4+'Balance Sheet'!D72)</f>
        <v>0.56009941139836206</v>
      </c>
      <c r="E24" s="191">
        <f>'Balance Sheet'!E72/(E4+'Balance Sheet'!E72)</f>
        <v>0.58031125369222214</v>
      </c>
      <c r="F24" s="191">
        <f>'Balance Sheet'!F72/(F4+'Balance Sheet'!F72)</f>
        <v>0.62964958525994286</v>
      </c>
      <c r="G24" s="191">
        <f>'Balance Sheet'!G72/(G4+'Balance Sheet'!G72)</f>
        <v>0.63520873205755224</v>
      </c>
      <c r="H24" s="191">
        <f>'Balance Sheet'!H72/(H4+'Balance Sheet'!H72)</f>
        <v>0.61609198107219187</v>
      </c>
      <c r="I24" s="191">
        <f>'Balance Sheet'!I72/(I4+'Balance Sheet'!I72)</f>
        <v>0.56589669191665692</v>
      </c>
      <c r="J24" s="191">
        <f>'Balance Sheet'!J72/(J4+'Balance Sheet'!J72)</f>
        <v>0.59574211818989331</v>
      </c>
      <c r="K24" s="191">
        <f>'Balance Sheet'!K72/(K4+'Balance Sheet'!K72)</f>
        <v>0.5862933970108869</v>
      </c>
      <c r="L24" s="191">
        <f>'Balance Sheet'!L72/(L4+'Balance Sheet'!L72)</f>
        <v>0.54391900168713614</v>
      </c>
      <c r="M24" s="191">
        <f>'Balance Sheet'!M72/(M4+'Balance Sheet'!M72)</f>
        <v>0.42277514590166421</v>
      </c>
      <c r="N24" s="192">
        <f>'Balance Sheet'!N72/(N4+'Balance Sheet'!N72)</f>
        <v>0.42245753522483498</v>
      </c>
      <c r="O24" s="191">
        <f>'Balance Sheet'!O72/(O4+'Balance Sheet'!O72)</f>
        <v>0.42804705014696581</v>
      </c>
      <c r="P24" s="191">
        <f>'Balance Sheet'!P72/(P4+'Balance Sheet'!P72)</f>
        <v>0.4371245306733792</v>
      </c>
      <c r="Q24" s="191">
        <f>'Balance Sheet'!Q72/(Q4+'Balance Sheet'!Q72)</f>
        <v>0.4469567208933824</v>
      </c>
      <c r="R24" s="191">
        <f>'Balance Sheet'!R72/(R4+'Balance Sheet'!R72)</f>
        <v>0.45848011222215962</v>
      </c>
      <c r="S24" s="192">
        <f>'Balance Sheet'!S72/(S4+'Balance Sheet'!S72)</f>
        <v>0.47023668134054675</v>
      </c>
    </row>
    <row r="25" spans="1:19" x14ac:dyDescent="0.25">
      <c r="A25" s="175"/>
      <c r="N25" s="124"/>
      <c r="S25" s="124"/>
    </row>
    <row r="26" spans="1:19" x14ac:dyDescent="0.25">
      <c r="A26" s="175"/>
      <c r="N26" s="124"/>
      <c r="S26" s="124"/>
    </row>
    <row r="27" spans="1:19" x14ac:dyDescent="0.25">
      <c r="A27" s="175" t="s">
        <v>15</v>
      </c>
      <c r="B27" s="109"/>
      <c r="C27" s="172"/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93"/>
      <c r="O27" s="194">
        <f>$B$28*(1+(1-'Income Statement'!$B$67)*(O23/O24))</f>
        <v>1.6217365063406484</v>
      </c>
      <c r="P27" s="194">
        <f>$B$28*(1+(1-'Income Statement'!$B$67)*(P23/P24))</f>
        <v>1.5922641458468638</v>
      </c>
      <c r="Q27" s="194">
        <f>$B$28*(1+(1-'Income Statement'!$B$67)*(Q23/Q24))</f>
        <v>1.5616920013770501</v>
      </c>
      <c r="R27" s="194">
        <f>$B$28*(1+(1-'Income Statement'!$B$67)*(R23/R24))</f>
        <v>1.5275302113554534</v>
      </c>
      <c r="S27" s="195">
        <f>$B$28*(1+(1-'Income Statement'!$B$67)*(S23/S24))</f>
        <v>1.4944026186305674</v>
      </c>
    </row>
    <row r="28" spans="1:19" x14ac:dyDescent="0.25">
      <c r="A28" s="190" t="s">
        <v>283</v>
      </c>
      <c r="B28" s="196">
        <v>0.81</v>
      </c>
      <c r="N28" s="193"/>
      <c r="S28" s="124"/>
    </row>
    <row r="29" spans="1:19" ht="15.75" thickBot="1" x14ac:dyDescent="0.3">
      <c r="A29" s="360"/>
      <c r="B29" s="361"/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362"/>
      <c r="O29" s="162"/>
      <c r="P29" s="162"/>
      <c r="Q29" s="162"/>
      <c r="R29" s="162"/>
      <c r="S29" s="163"/>
    </row>
    <row r="30" spans="1:19" ht="15.75" thickTop="1" x14ac:dyDescent="0.25">
      <c r="A30" s="363" t="s">
        <v>9</v>
      </c>
      <c r="B30" s="202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364"/>
      <c r="O30" s="365">
        <f>$B$18+O27*$B$19+$B$20</f>
        <v>0.13628945421820943</v>
      </c>
      <c r="P30" s="365">
        <f t="shared" ref="P30:S30" si="4">$B$18+P27*$B$19+$B$20</f>
        <v>0.13504277336932236</v>
      </c>
      <c r="Q30" s="365">
        <f t="shared" si="4"/>
        <v>0.13374957165824922</v>
      </c>
      <c r="R30" s="365">
        <f t="shared" si="4"/>
        <v>0.13230452794033568</v>
      </c>
      <c r="S30" s="366">
        <f t="shared" si="4"/>
        <v>0.130903230768073</v>
      </c>
    </row>
  </sheetData>
  <mergeCells count="1">
    <mergeCell ref="A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FBF98-D8A9-40B4-9742-255838DBE493}">
  <sheetPr>
    <tabColor rgb="FF0D5D3F"/>
  </sheetPr>
  <dimension ref="A1:S104"/>
  <sheetViews>
    <sheetView workbookViewId="0">
      <pane xSplit="1" ySplit="3" topLeftCell="B37" activePane="bottomRight" state="frozen"/>
      <selection pane="topRight" activeCell="B1" sqref="B1"/>
      <selection pane="bottomLeft" activeCell="A3" sqref="A3"/>
      <selection pane="bottomRight" activeCell="Q88" sqref="Q88"/>
    </sheetView>
  </sheetViews>
  <sheetFormatPr defaultRowHeight="12.75" x14ac:dyDescent="0.2"/>
  <cols>
    <col min="1" max="1" width="43.42578125" style="1" bestFit="1" customWidth="1"/>
    <col min="2" max="9" width="11.28515625" style="1" bestFit="1" customWidth="1"/>
    <col min="10" max="15" width="12.42578125" style="1" bestFit="1" customWidth="1"/>
    <col min="16" max="19" width="11.28515625" style="1" bestFit="1" customWidth="1"/>
    <col min="20" max="16384" width="9.140625" style="1"/>
  </cols>
  <sheetData>
    <row r="1" spans="1:19" ht="15" customHeight="1" x14ac:dyDescent="0.2">
      <c r="A1" s="407" t="s">
        <v>304</v>
      </c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408"/>
      <c r="N1" s="408"/>
      <c r="O1" s="408"/>
      <c r="P1" s="408"/>
      <c r="Q1" s="408"/>
      <c r="R1" s="408"/>
      <c r="S1" s="409"/>
    </row>
    <row r="2" spans="1:19" x14ac:dyDescent="0.2">
      <c r="A2" s="315"/>
      <c r="B2" s="17">
        <v>2013</v>
      </c>
      <c r="C2" s="17">
        <v>2014</v>
      </c>
      <c r="D2" s="17">
        <v>2015</v>
      </c>
      <c r="E2" s="17">
        <v>2016</v>
      </c>
      <c r="F2" s="17">
        <v>2017</v>
      </c>
      <c r="G2" s="17">
        <v>2018</v>
      </c>
      <c r="H2" s="17">
        <v>2019</v>
      </c>
      <c r="I2" s="17">
        <v>2020</v>
      </c>
      <c r="J2" s="17">
        <v>2021</v>
      </c>
      <c r="K2" s="17">
        <v>2022</v>
      </c>
      <c r="L2" s="17">
        <v>2023</v>
      </c>
      <c r="M2" s="17">
        <v>2024</v>
      </c>
      <c r="N2" s="316">
        <v>2025</v>
      </c>
      <c r="O2" s="17">
        <v>2026</v>
      </c>
      <c r="P2" s="17">
        <v>2027</v>
      </c>
      <c r="Q2" s="17">
        <v>2028</v>
      </c>
      <c r="R2" s="17">
        <v>2029</v>
      </c>
      <c r="S2" s="316">
        <v>2030</v>
      </c>
    </row>
    <row r="3" spans="1:19" x14ac:dyDescent="0.2">
      <c r="A3" s="315"/>
      <c r="B3" s="1" t="s">
        <v>256</v>
      </c>
      <c r="C3" s="1" t="s">
        <v>256</v>
      </c>
      <c r="D3" s="1" t="s">
        <v>256</v>
      </c>
      <c r="E3" s="1" t="s">
        <v>256</v>
      </c>
      <c r="F3" s="1" t="s">
        <v>256</v>
      </c>
      <c r="G3" s="1" t="s">
        <v>256</v>
      </c>
      <c r="H3" s="1" t="s">
        <v>256</v>
      </c>
      <c r="I3" s="1" t="s">
        <v>256</v>
      </c>
      <c r="J3" s="1" t="s">
        <v>256</v>
      </c>
      <c r="K3" s="1" t="s">
        <v>256</v>
      </c>
      <c r="L3" s="1" t="s">
        <v>256</v>
      </c>
      <c r="M3" s="1" t="s">
        <v>256</v>
      </c>
      <c r="N3" s="317" t="s">
        <v>256</v>
      </c>
      <c r="O3" s="1" t="s">
        <v>257</v>
      </c>
      <c r="P3" s="1" t="s">
        <v>257</v>
      </c>
      <c r="Q3" s="1" t="s">
        <v>257</v>
      </c>
      <c r="R3" s="1" t="s">
        <v>257</v>
      </c>
      <c r="S3" s="317" t="s">
        <v>257</v>
      </c>
    </row>
    <row r="4" spans="1:19" x14ac:dyDescent="0.2">
      <c r="A4" s="315" t="s">
        <v>3</v>
      </c>
      <c r="B4" s="318">
        <v>392977</v>
      </c>
      <c r="C4" s="318">
        <v>371962</v>
      </c>
      <c r="D4" s="318">
        <v>701460</v>
      </c>
      <c r="E4" s="318">
        <v>1064506</v>
      </c>
      <c r="F4" s="318">
        <v>749328</v>
      </c>
      <c r="G4" s="318">
        <v>642736</v>
      </c>
      <c r="H4" s="318">
        <v>884769</v>
      </c>
      <c r="I4" s="318">
        <v>1604053</v>
      </c>
      <c r="J4" s="318">
        <v>139780</v>
      </c>
      <c r="K4" s="318">
        <v>1235775</v>
      </c>
      <c r="L4" s="318">
        <v>1613703</v>
      </c>
      <c r="M4" s="318">
        <v>1979575</v>
      </c>
      <c r="N4" s="321">
        <v>2647586</v>
      </c>
      <c r="S4" s="317"/>
    </row>
    <row r="5" spans="1:19" x14ac:dyDescent="0.2">
      <c r="A5" s="315" t="s">
        <v>195</v>
      </c>
      <c r="B5" s="318">
        <v>62438</v>
      </c>
      <c r="C5" s="318">
        <v>120663</v>
      </c>
      <c r="D5" s="318">
        <v>176691</v>
      </c>
      <c r="E5" s="318">
        <v>73392</v>
      </c>
      <c r="F5" s="318">
        <v>168128</v>
      </c>
      <c r="G5" s="318">
        <v>131546</v>
      </c>
      <c r="H5" s="318">
        <v>178405</v>
      </c>
      <c r="I5" s="318">
        <v>207283</v>
      </c>
      <c r="J5" s="318">
        <v>147414</v>
      </c>
      <c r="K5" s="318">
        <v>174291</v>
      </c>
      <c r="L5" s="318">
        <v>143694</v>
      </c>
      <c r="M5" s="318">
        <v>251157</v>
      </c>
      <c r="N5" s="321">
        <v>248085</v>
      </c>
      <c r="S5" s="317"/>
    </row>
    <row r="6" spans="1:19" x14ac:dyDescent="0.2">
      <c r="A6" s="315" t="s">
        <v>194</v>
      </c>
      <c r="B6" s="318">
        <v>2550</v>
      </c>
      <c r="C6" s="318">
        <v>5200</v>
      </c>
      <c r="D6" s="318">
        <v>4438</v>
      </c>
      <c r="E6" s="318">
        <v>1728</v>
      </c>
      <c r="F6" s="318">
        <v>9017</v>
      </c>
      <c r="G6" s="318">
        <v>8520</v>
      </c>
      <c r="H6" s="318">
        <v>2443</v>
      </c>
      <c r="I6" s="318">
        <v>3580</v>
      </c>
      <c r="J6" s="318">
        <v>29502</v>
      </c>
      <c r="K6" s="318">
        <v>14924</v>
      </c>
      <c r="L6" s="318">
        <v>9098</v>
      </c>
      <c r="M6" s="318">
        <v>30551</v>
      </c>
      <c r="N6" s="321">
        <v>35652</v>
      </c>
      <c r="S6" s="317"/>
    </row>
    <row r="7" spans="1:19" x14ac:dyDescent="0.2">
      <c r="A7" s="315" t="s">
        <v>193</v>
      </c>
      <c r="B7" s="318">
        <v>514819</v>
      </c>
      <c r="C7" s="318">
        <v>622101</v>
      </c>
      <c r="D7" s="318">
        <v>728192</v>
      </c>
      <c r="E7" s="318">
        <v>486425</v>
      </c>
      <c r="F7" s="318">
        <v>569524</v>
      </c>
      <c r="G7" s="318">
        <v>868522</v>
      </c>
      <c r="H7" s="318">
        <v>1071354</v>
      </c>
      <c r="I7" s="318">
        <v>1301082</v>
      </c>
      <c r="J7" s="318">
        <v>2806365</v>
      </c>
      <c r="K7" s="318">
        <v>3343980</v>
      </c>
      <c r="L7" s="318">
        <v>3656261</v>
      </c>
      <c r="M7" s="318">
        <v>3780562</v>
      </c>
      <c r="N7" s="321">
        <v>3722611</v>
      </c>
      <c r="S7" s="317"/>
    </row>
    <row r="8" spans="1:19" x14ac:dyDescent="0.2">
      <c r="A8" s="315" t="s">
        <v>61</v>
      </c>
      <c r="B8" s="318">
        <v>378481</v>
      </c>
      <c r="C8" s="318">
        <v>374372</v>
      </c>
      <c r="D8" s="318">
        <v>423705</v>
      </c>
      <c r="E8" s="318">
        <v>521174</v>
      </c>
      <c r="F8" s="318">
        <v>522997</v>
      </c>
      <c r="G8" s="318">
        <v>705390</v>
      </c>
      <c r="H8" s="318">
        <v>780589</v>
      </c>
      <c r="I8" s="318">
        <v>891804</v>
      </c>
      <c r="J8" s="318">
        <v>1690969</v>
      </c>
      <c r="K8" s="318">
        <v>1799576</v>
      </c>
      <c r="L8" s="318">
        <v>1488540</v>
      </c>
      <c r="M8" s="318">
        <v>1785392</v>
      </c>
      <c r="N8" s="321">
        <v>2350421</v>
      </c>
      <c r="S8" s="317"/>
    </row>
    <row r="9" spans="1:19" x14ac:dyDescent="0.2">
      <c r="A9" s="315" t="s">
        <v>192</v>
      </c>
      <c r="B9" s="318">
        <v>78361</v>
      </c>
      <c r="C9" s="318">
        <v>98566</v>
      </c>
      <c r="D9" s="318">
        <v>89321</v>
      </c>
      <c r="E9" s="318">
        <v>66727</v>
      </c>
      <c r="F9" s="318">
        <v>45908</v>
      </c>
      <c r="G9" s="318">
        <v>86943</v>
      </c>
      <c r="H9" s="318">
        <v>41943</v>
      </c>
      <c r="I9" s="318">
        <v>39447</v>
      </c>
      <c r="J9" s="318">
        <v>126936</v>
      </c>
      <c r="K9" s="318">
        <v>139817</v>
      </c>
      <c r="L9" s="318">
        <v>127236</v>
      </c>
      <c r="M9" s="318">
        <v>207078</v>
      </c>
      <c r="N9" s="321">
        <v>290925</v>
      </c>
      <c r="S9" s="317"/>
    </row>
    <row r="10" spans="1:19" x14ac:dyDescent="0.2">
      <c r="A10" s="315" t="s">
        <v>191</v>
      </c>
      <c r="B10" s="318">
        <v>10313</v>
      </c>
      <c r="C10" s="318">
        <v>5474</v>
      </c>
      <c r="D10" s="318">
        <v>4444</v>
      </c>
      <c r="E10" s="318">
        <v>7948</v>
      </c>
      <c r="F10" s="318">
        <v>123657</v>
      </c>
      <c r="G10" s="318">
        <v>66342</v>
      </c>
      <c r="H10" s="318">
        <v>71657</v>
      </c>
      <c r="I10" s="318">
        <v>31207</v>
      </c>
      <c r="J10" s="318">
        <v>21919</v>
      </c>
      <c r="K10" s="318">
        <v>25852</v>
      </c>
      <c r="L10" s="318">
        <v>27590</v>
      </c>
      <c r="M10" s="318">
        <v>23176</v>
      </c>
      <c r="N10" s="321">
        <v>84366</v>
      </c>
      <c r="S10" s="317"/>
    </row>
    <row r="11" spans="1:19" x14ac:dyDescent="0.2">
      <c r="A11" s="315" t="s">
        <v>210</v>
      </c>
      <c r="B11" s="318">
        <v>5278</v>
      </c>
      <c r="C11" s="318">
        <v>8936</v>
      </c>
      <c r="D11" s="318">
        <v>26639</v>
      </c>
      <c r="E11" s="318">
        <v>99963</v>
      </c>
      <c r="F11" s="318">
        <v>47140</v>
      </c>
      <c r="G11" s="318">
        <v>60222</v>
      </c>
      <c r="H11" s="318">
        <v>34008</v>
      </c>
      <c r="I11" s="318">
        <v>98587</v>
      </c>
      <c r="J11" s="318">
        <v>107676</v>
      </c>
      <c r="K11" s="318">
        <v>272728</v>
      </c>
      <c r="L11" s="318">
        <v>265314</v>
      </c>
      <c r="M11" s="318">
        <v>286904</v>
      </c>
      <c r="N11" s="321">
        <v>408226</v>
      </c>
      <c r="S11" s="317"/>
    </row>
    <row r="12" spans="1:19" x14ac:dyDescent="0.2">
      <c r="A12" s="315" t="s">
        <v>190</v>
      </c>
      <c r="B12" s="318">
        <v>4754</v>
      </c>
      <c r="C12" s="318">
        <v>3456</v>
      </c>
      <c r="D12" s="318">
        <v>15812</v>
      </c>
      <c r="E12" s="318">
        <v>2507</v>
      </c>
      <c r="F12" s="318">
        <v>3916</v>
      </c>
      <c r="G12" s="318">
        <v>5290</v>
      </c>
      <c r="H12" s="318">
        <v>11412</v>
      </c>
      <c r="I12" s="318">
        <v>6217</v>
      </c>
      <c r="J12" s="318">
        <v>23977</v>
      </c>
      <c r="K12" s="318">
        <v>15012</v>
      </c>
      <c r="L12" s="318">
        <v>19980</v>
      </c>
      <c r="M12" s="318">
        <v>15836</v>
      </c>
      <c r="N12" s="321">
        <v>8864</v>
      </c>
      <c r="S12" s="317"/>
    </row>
    <row r="13" spans="1:19" x14ac:dyDescent="0.2">
      <c r="A13" s="315" t="s">
        <v>189</v>
      </c>
      <c r="B13" s="318">
        <v>3793</v>
      </c>
      <c r="C13" s="318">
        <v>2712</v>
      </c>
      <c r="D13" s="318">
        <v>5469</v>
      </c>
      <c r="E13" s="318">
        <v>7721</v>
      </c>
      <c r="F13" s="318">
        <v>8354</v>
      </c>
      <c r="G13" s="318">
        <v>5060</v>
      </c>
      <c r="H13" s="318">
        <v>14030</v>
      </c>
      <c r="I13" s="318">
        <v>17141</v>
      </c>
      <c r="J13" s="318">
        <v>14275</v>
      </c>
      <c r="K13" s="318">
        <v>10183</v>
      </c>
      <c r="L13" s="318">
        <v>10982</v>
      </c>
      <c r="M13" s="318">
        <v>27245</v>
      </c>
      <c r="N13" s="321">
        <v>47153</v>
      </c>
      <c r="S13" s="317"/>
    </row>
    <row r="14" spans="1:19" x14ac:dyDescent="0.2">
      <c r="A14" s="315" t="s">
        <v>50</v>
      </c>
      <c r="B14" s="318">
        <v>0</v>
      </c>
      <c r="C14" s="318">
        <v>0</v>
      </c>
      <c r="D14" s="318">
        <v>677</v>
      </c>
      <c r="E14" s="318">
        <v>77</v>
      </c>
      <c r="F14" s="318">
        <v>2370</v>
      </c>
      <c r="G14" s="318">
        <v>1449</v>
      </c>
      <c r="H14" s="318">
        <v>189</v>
      </c>
      <c r="I14" s="318">
        <v>971</v>
      </c>
      <c r="J14" s="318">
        <v>573</v>
      </c>
      <c r="K14" s="318">
        <v>545</v>
      </c>
      <c r="L14" s="318">
        <v>3640</v>
      </c>
      <c r="M14" s="318">
        <v>2397</v>
      </c>
      <c r="N14" s="321">
        <v>1578</v>
      </c>
      <c r="S14" s="317"/>
    </row>
    <row r="15" spans="1:19" x14ac:dyDescent="0.2">
      <c r="A15" s="315"/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8"/>
      <c r="N15" s="321"/>
      <c r="S15" s="317"/>
    </row>
    <row r="16" spans="1:19" x14ac:dyDescent="0.2">
      <c r="A16" s="319" t="s">
        <v>228</v>
      </c>
      <c r="B16" s="41">
        <f t="shared" ref="B16:N16" si="0">SUM(B4:B14)</f>
        <v>1453764</v>
      </c>
      <c r="C16" s="41">
        <f t="shared" si="0"/>
        <v>1613442</v>
      </c>
      <c r="D16" s="41">
        <f t="shared" si="0"/>
        <v>2176848</v>
      </c>
      <c r="E16" s="41">
        <f t="shared" si="0"/>
        <v>2332168</v>
      </c>
      <c r="F16" s="41">
        <f t="shared" si="0"/>
        <v>2250339</v>
      </c>
      <c r="G16" s="41">
        <f t="shared" si="0"/>
        <v>2582020</v>
      </c>
      <c r="H16" s="41">
        <f t="shared" si="0"/>
        <v>3090799</v>
      </c>
      <c r="I16" s="41">
        <f t="shared" si="0"/>
        <v>4201372</v>
      </c>
      <c r="J16" s="41">
        <f t="shared" si="0"/>
        <v>5109386</v>
      </c>
      <c r="K16" s="41">
        <f t="shared" si="0"/>
        <v>7032683</v>
      </c>
      <c r="L16" s="41">
        <f t="shared" si="0"/>
        <v>7366038</v>
      </c>
      <c r="M16" s="41">
        <f t="shared" si="0"/>
        <v>8389873</v>
      </c>
      <c r="N16" s="322">
        <f t="shared" si="0"/>
        <v>9845467</v>
      </c>
      <c r="S16" s="317"/>
    </row>
    <row r="17" spans="1:19" x14ac:dyDescent="0.2">
      <c r="A17" s="315"/>
      <c r="B17" s="318"/>
      <c r="C17" s="318"/>
      <c r="D17" s="318"/>
      <c r="E17" s="318"/>
      <c r="F17" s="318"/>
      <c r="G17" s="318"/>
      <c r="H17" s="318"/>
      <c r="I17" s="318"/>
      <c r="J17" s="318"/>
      <c r="K17" s="318"/>
      <c r="L17" s="318"/>
      <c r="M17" s="318"/>
      <c r="N17" s="321"/>
      <c r="S17" s="317"/>
    </row>
    <row r="18" spans="1:19" x14ac:dyDescent="0.2">
      <c r="A18" s="315" t="s">
        <v>192</v>
      </c>
      <c r="B18" s="318">
        <v>20726</v>
      </c>
      <c r="C18" s="318">
        <v>31576</v>
      </c>
      <c r="D18" s="318">
        <v>51954</v>
      </c>
      <c r="E18" s="318">
        <v>55834</v>
      </c>
      <c r="F18" s="318">
        <v>62841</v>
      </c>
      <c r="G18" s="318">
        <v>82895</v>
      </c>
      <c r="H18" s="318">
        <v>122469</v>
      </c>
      <c r="I18" s="318">
        <v>111203</v>
      </c>
      <c r="J18" s="318">
        <v>152690</v>
      </c>
      <c r="K18" s="318">
        <v>204094</v>
      </c>
      <c r="L18" s="318">
        <v>233688</v>
      </c>
      <c r="M18" s="318">
        <v>269972</v>
      </c>
      <c r="N18" s="321">
        <v>397746</v>
      </c>
      <c r="S18" s="317"/>
    </row>
    <row r="19" spans="1:19" x14ac:dyDescent="0.2">
      <c r="A19" s="315" t="s">
        <v>227</v>
      </c>
      <c r="B19" s="318">
        <v>3924</v>
      </c>
      <c r="C19" s="318">
        <v>8358</v>
      </c>
      <c r="D19" s="318">
        <v>23509</v>
      </c>
      <c r="E19" s="318">
        <v>26265</v>
      </c>
      <c r="F19" s="318">
        <v>18760</v>
      </c>
      <c r="G19" s="318">
        <v>17168</v>
      </c>
      <c r="H19" s="318">
        <v>22517</v>
      </c>
      <c r="I19" s="318">
        <v>20480</v>
      </c>
      <c r="J19" s="318">
        <v>405662</v>
      </c>
      <c r="K19" s="318">
        <v>281819</v>
      </c>
      <c r="L19" s="318">
        <v>254080</v>
      </c>
      <c r="M19" s="318">
        <v>351448</v>
      </c>
      <c r="N19" s="321">
        <v>295230</v>
      </c>
      <c r="S19" s="317"/>
    </row>
    <row r="20" spans="1:19" x14ac:dyDescent="0.2">
      <c r="A20" s="315" t="s">
        <v>226</v>
      </c>
      <c r="B20" s="318">
        <v>1938</v>
      </c>
      <c r="C20" s="318">
        <v>1329</v>
      </c>
      <c r="D20" s="318">
        <v>101852</v>
      </c>
      <c r="E20" s="318">
        <v>48648</v>
      </c>
      <c r="F20" s="318">
        <v>23766</v>
      </c>
      <c r="G20" s="318">
        <v>8770</v>
      </c>
      <c r="H20" s="318">
        <v>11328</v>
      </c>
      <c r="I20" s="318">
        <v>146785</v>
      </c>
      <c r="J20" s="318">
        <v>183607</v>
      </c>
      <c r="K20" s="318">
        <v>61677</v>
      </c>
      <c r="L20" s="318">
        <v>19746</v>
      </c>
      <c r="M20" s="318">
        <v>298888</v>
      </c>
      <c r="N20" s="321">
        <v>181721</v>
      </c>
      <c r="S20" s="317"/>
    </row>
    <row r="21" spans="1:19" x14ac:dyDescent="0.2">
      <c r="A21" s="315" t="s">
        <v>194</v>
      </c>
      <c r="B21" s="318">
        <v>68583</v>
      </c>
      <c r="C21" s="318">
        <v>71218</v>
      </c>
      <c r="D21" s="318">
        <v>76430</v>
      </c>
      <c r="E21" s="318">
        <v>71542</v>
      </c>
      <c r="F21" s="318">
        <v>57763</v>
      </c>
      <c r="G21" s="318">
        <v>46176</v>
      </c>
      <c r="H21" s="318">
        <v>30241</v>
      </c>
      <c r="I21" s="318">
        <v>59814</v>
      </c>
      <c r="J21" s="318">
        <v>74202</v>
      </c>
      <c r="K21" s="318">
        <v>79805</v>
      </c>
      <c r="L21" s="318">
        <v>75410</v>
      </c>
      <c r="M21" s="318">
        <v>30288</v>
      </c>
      <c r="N21" s="321">
        <v>32755</v>
      </c>
      <c r="S21" s="317"/>
    </row>
    <row r="22" spans="1:19" x14ac:dyDescent="0.2">
      <c r="A22" s="315" t="s">
        <v>225</v>
      </c>
      <c r="B22" s="318">
        <v>0</v>
      </c>
      <c r="C22" s="318">
        <v>0</v>
      </c>
      <c r="D22" s="318">
        <v>0</v>
      </c>
      <c r="E22" s="318">
        <v>0</v>
      </c>
      <c r="F22" s="318">
        <v>0</v>
      </c>
      <c r="G22" s="318">
        <v>0</v>
      </c>
      <c r="H22" s="318">
        <v>650</v>
      </c>
      <c r="I22" s="318">
        <v>663</v>
      </c>
      <c r="J22" s="318">
        <v>684</v>
      </c>
      <c r="K22" s="318">
        <v>747</v>
      </c>
      <c r="L22" s="318">
        <v>1115</v>
      </c>
      <c r="M22" s="318">
        <v>1587</v>
      </c>
      <c r="N22" s="321">
        <v>1782</v>
      </c>
      <c r="S22" s="317"/>
    </row>
    <row r="23" spans="1:19" x14ac:dyDescent="0.2">
      <c r="A23" s="315" t="s">
        <v>191</v>
      </c>
      <c r="B23" s="318">
        <v>8594</v>
      </c>
      <c r="C23" s="318">
        <v>7956</v>
      </c>
      <c r="D23" s="318">
        <v>7464</v>
      </c>
      <c r="E23" s="318">
        <v>0</v>
      </c>
      <c r="F23" s="318">
        <v>0</v>
      </c>
      <c r="G23" s="318">
        <v>0</v>
      </c>
      <c r="H23" s="318">
        <v>5248</v>
      </c>
      <c r="I23" s="318">
        <v>2700</v>
      </c>
      <c r="J23" s="318">
        <v>26962</v>
      </c>
      <c r="K23" s="318">
        <v>31650</v>
      </c>
      <c r="L23" s="318">
        <v>0</v>
      </c>
      <c r="M23" s="318">
        <v>521</v>
      </c>
      <c r="N23" s="321">
        <v>107588</v>
      </c>
      <c r="S23" s="317"/>
    </row>
    <row r="24" spans="1:19" x14ac:dyDescent="0.2">
      <c r="A24" s="315" t="s">
        <v>189</v>
      </c>
      <c r="B24" s="318">
        <v>5796</v>
      </c>
      <c r="C24" s="318">
        <v>1665</v>
      </c>
      <c r="D24" s="318">
        <v>2830</v>
      </c>
      <c r="E24" s="318">
        <v>3777</v>
      </c>
      <c r="F24" s="318">
        <v>2567</v>
      </c>
      <c r="G24" s="318">
        <v>2659</v>
      </c>
      <c r="H24" s="318">
        <v>528</v>
      </c>
      <c r="I24" s="318">
        <v>437</v>
      </c>
      <c r="J24" s="318">
        <v>19</v>
      </c>
      <c r="K24" s="318">
        <v>458</v>
      </c>
      <c r="L24" s="318">
        <v>1798</v>
      </c>
      <c r="M24" s="318">
        <v>668</v>
      </c>
      <c r="N24" s="321">
        <v>10662</v>
      </c>
      <c r="S24" s="317"/>
    </row>
    <row r="25" spans="1:19" x14ac:dyDescent="0.2">
      <c r="A25" s="315" t="s">
        <v>224</v>
      </c>
      <c r="B25" s="318">
        <v>1684</v>
      </c>
      <c r="C25" s="318">
        <v>4760</v>
      </c>
      <c r="D25" s="318">
        <v>11991</v>
      </c>
      <c r="E25" s="318">
        <v>17309</v>
      </c>
      <c r="F25" s="318">
        <v>17029</v>
      </c>
      <c r="G25" s="318">
        <v>15643</v>
      </c>
      <c r="H25" s="318">
        <v>7945</v>
      </c>
      <c r="I25" s="318">
        <v>13705</v>
      </c>
      <c r="J25" s="318">
        <v>19770</v>
      </c>
      <c r="K25" s="318">
        <v>40174</v>
      </c>
      <c r="L25" s="318">
        <v>49656</v>
      </c>
      <c r="M25" s="318">
        <v>61078</v>
      </c>
      <c r="N25" s="321">
        <v>60094</v>
      </c>
      <c r="S25" s="317"/>
    </row>
    <row r="26" spans="1:19" x14ac:dyDescent="0.2">
      <c r="A26" s="315"/>
      <c r="B26" s="318"/>
      <c r="C26" s="318"/>
      <c r="D26" s="318"/>
      <c r="E26" s="318"/>
      <c r="F26" s="318"/>
      <c r="G26" s="318"/>
      <c r="H26" s="318"/>
      <c r="I26" s="318"/>
      <c r="J26" s="318"/>
      <c r="K26" s="318"/>
      <c r="L26" s="318"/>
      <c r="M26" s="318"/>
      <c r="N26" s="321"/>
      <c r="S26" s="317"/>
    </row>
    <row r="27" spans="1:19" x14ac:dyDescent="0.2">
      <c r="A27" s="320" t="s">
        <v>223</v>
      </c>
      <c r="B27" s="41">
        <f t="shared" ref="B27:N27" si="1">SUM(B18:B25)</f>
        <v>111245</v>
      </c>
      <c r="C27" s="41">
        <f t="shared" si="1"/>
        <v>126862</v>
      </c>
      <c r="D27" s="41">
        <f t="shared" si="1"/>
        <v>276030</v>
      </c>
      <c r="E27" s="41">
        <f t="shared" si="1"/>
        <v>223375</v>
      </c>
      <c r="F27" s="41">
        <f t="shared" si="1"/>
        <v>182726</v>
      </c>
      <c r="G27" s="41">
        <f t="shared" si="1"/>
        <v>173311</v>
      </c>
      <c r="H27" s="41">
        <f t="shared" si="1"/>
        <v>200926</v>
      </c>
      <c r="I27" s="41">
        <f t="shared" si="1"/>
        <v>355787</v>
      </c>
      <c r="J27" s="41">
        <f t="shared" si="1"/>
        <v>863596</v>
      </c>
      <c r="K27" s="41">
        <f t="shared" si="1"/>
        <v>700424</v>
      </c>
      <c r="L27" s="41">
        <f t="shared" si="1"/>
        <v>635493</v>
      </c>
      <c r="M27" s="41">
        <f t="shared" si="1"/>
        <v>1014450</v>
      </c>
      <c r="N27" s="322">
        <f t="shared" si="1"/>
        <v>1087578</v>
      </c>
      <c r="S27" s="317"/>
    </row>
    <row r="28" spans="1:19" x14ac:dyDescent="0.2">
      <c r="A28" s="315"/>
      <c r="B28" s="318"/>
      <c r="C28" s="318"/>
      <c r="D28" s="318"/>
      <c r="E28" s="318"/>
      <c r="F28" s="318"/>
      <c r="G28" s="318"/>
      <c r="H28" s="318"/>
      <c r="I28" s="318"/>
      <c r="J28" s="318"/>
      <c r="K28" s="318"/>
      <c r="L28" s="318"/>
      <c r="M28" s="318"/>
      <c r="N28" s="321"/>
      <c r="S28" s="317"/>
    </row>
    <row r="29" spans="1:19" x14ac:dyDescent="0.2">
      <c r="A29" s="315" t="s">
        <v>222</v>
      </c>
      <c r="B29" s="318">
        <v>4461</v>
      </c>
      <c r="C29" s="318">
        <v>5848</v>
      </c>
      <c r="D29" s="318">
        <v>93350</v>
      </c>
      <c r="E29" s="318">
        <v>210644</v>
      </c>
      <c r="F29" s="318">
        <v>202243</v>
      </c>
      <c r="G29" s="318">
        <v>209082</v>
      </c>
      <c r="H29" s="318">
        <v>0</v>
      </c>
      <c r="I29" s="318">
        <v>0</v>
      </c>
      <c r="J29" s="318">
        <v>333269</v>
      </c>
      <c r="K29" s="318">
        <v>385817</v>
      </c>
      <c r="L29" s="318">
        <v>430889</v>
      </c>
      <c r="M29" s="318">
        <v>58683</v>
      </c>
      <c r="N29" s="321">
        <v>53182</v>
      </c>
      <c r="S29" s="317"/>
    </row>
    <row r="30" spans="1:19" x14ac:dyDescent="0.2">
      <c r="A30" s="315" t="s">
        <v>221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555031</v>
      </c>
      <c r="I30" s="318">
        <v>828496</v>
      </c>
      <c r="J30" s="318">
        <v>3042185</v>
      </c>
      <c r="K30" s="318">
        <v>2881262</v>
      </c>
      <c r="L30" s="318">
        <v>2885337</v>
      </c>
      <c r="M30" s="318">
        <v>2567191</v>
      </c>
      <c r="N30" s="321">
        <v>2763422</v>
      </c>
      <c r="S30" s="317"/>
    </row>
    <row r="31" spans="1:19" x14ac:dyDescent="0.2">
      <c r="A31" s="315" t="s">
        <v>220</v>
      </c>
      <c r="B31" s="318">
        <v>2685343</v>
      </c>
      <c r="C31" s="318">
        <v>2747811</v>
      </c>
      <c r="D31" s="318">
        <v>2760438</v>
      </c>
      <c r="E31" s="318">
        <v>2683944</v>
      </c>
      <c r="F31" s="318">
        <v>2647977</v>
      </c>
      <c r="G31" s="318">
        <v>2784265</v>
      </c>
      <c r="H31" s="318">
        <v>3095999</v>
      </c>
      <c r="I31" s="318">
        <v>3168738</v>
      </c>
      <c r="J31" s="318">
        <v>3398063</v>
      </c>
      <c r="K31" s="318">
        <v>3733112</v>
      </c>
      <c r="L31" s="318">
        <v>4395692</v>
      </c>
      <c r="M31" s="318">
        <v>5417528</v>
      </c>
      <c r="N31" s="321">
        <v>7111885</v>
      </c>
      <c r="S31" s="317"/>
    </row>
    <row r="32" spans="1:19" x14ac:dyDescent="0.2">
      <c r="A32" s="315" t="s">
        <v>219</v>
      </c>
      <c r="B32" s="318">
        <v>6264</v>
      </c>
      <c r="C32" s="318">
        <v>4671</v>
      </c>
      <c r="D32" s="318">
        <v>2967</v>
      </c>
      <c r="E32" s="318">
        <v>3245</v>
      </c>
      <c r="F32" s="318">
        <v>10400</v>
      </c>
      <c r="G32" s="318">
        <v>6853</v>
      </c>
      <c r="H32" s="318">
        <v>15363</v>
      </c>
      <c r="I32" s="318">
        <v>35290</v>
      </c>
      <c r="J32" s="318">
        <v>118184</v>
      </c>
      <c r="K32" s="318">
        <v>131473</v>
      </c>
      <c r="L32" s="318">
        <v>137977</v>
      </c>
      <c r="M32" s="318">
        <v>121776</v>
      </c>
      <c r="N32" s="321">
        <v>473493</v>
      </c>
      <c r="S32" s="317"/>
    </row>
    <row r="33" spans="1:19" x14ac:dyDescent="0.2">
      <c r="A33" s="315"/>
      <c r="B33" s="318"/>
      <c r="C33" s="318"/>
      <c r="D33" s="318"/>
      <c r="E33" s="318"/>
      <c r="F33" s="318"/>
      <c r="G33" s="318"/>
      <c r="H33" s="318"/>
      <c r="I33" s="318"/>
      <c r="J33" s="318"/>
      <c r="K33" s="318"/>
      <c r="L33" s="318"/>
      <c r="M33" s="318"/>
      <c r="N33" s="321"/>
      <c r="S33" s="317"/>
    </row>
    <row r="34" spans="1:19" x14ac:dyDescent="0.2">
      <c r="A34" s="320" t="s">
        <v>218</v>
      </c>
      <c r="B34" s="41">
        <f t="shared" ref="B34:N34" si="2">SUM(B29:B32)</f>
        <v>2696068</v>
      </c>
      <c r="C34" s="41">
        <f t="shared" si="2"/>
        <v>2758330</v>
      </c>
      <c r="D34" s="41">
        <f t="shared" si="2"/>
        <v>2856755</v>
      </c>
      <c r="E34" s="41">
        <f t="shared" si="2"/>
        <v>2897833</v>
      </c>
      <c r="F34" s="41">
        <f t="shared" si="2"/>
        <v>2860620</v>
      </c>
      <c r="G34" s="41">
        <f t="shared" si="2"/>
        <v>3000200</v>
      </c>
      <c r="H34" s="41">
        <f t="shared" si="2"/>
        <v>3666393</v>
      </c>
      <c r="I34" s="41">
        <f t="shared" si="2"/>
        <v>4032524</v>
      </c>
      <c r="J34" s="41">
        <f t="shared" si="2"/>
        <v>6891701</v>
      </c>
      <c r="K34" s="41">
        <f t="shared" si="2"/>
        <v>7131664</v>
      </c>
      <c r="L34" s="41">
        <f t="shared" si="2"/>
        <v>7849895</v>
      </c>
      <c r="M34" s="41">
        <f t="shared" si="2"/>
        <v>8165178</v>
      </c>
      <c r="N34" s="322">
        <f t="shared" si="2"/>
        <v>10401982</v>
      </c>
      <c r="S34" s="317"/>
    </row>
    <row r="35" spans="1:19" x14ac:dyDescent="0.2">
      <c r="A35" s="315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322"/>
      <c r="S35" s="317"/>
    </row>
    <row r="36" spans="1:19" x14ac:dyDescent="0.2">
      <c r="A36" s="320" t="s">
        <v>217</v>
      </c>
      <c r="B36" s="41">
        <f t="shared" ref="B36:N36" si="3">SUM(B34,B27,B16)</f>
        <v>4261077</v>
      </c>
      <c r="C36" s="41">
        <f t="shared" si="3"/>
        <v>4498634</v>
      </c>
      <c r="D36" s="41">
        <f t="shared" si="3"/>
        <v>5309633</v>
      </c>
      <c r="E36" s="41">
        <f t="shared" si="3"/>
        <v>5453376</v>
      </c>
      <c r="F36" s="41">
        <f t="shared" si="3"/>
        <v>5293685</v>
      </c>
      <c r="G36" s="41">
        <f t="shared" si="3"/>
        <v>5755531</v>
      </c>
      <c r="H36" s="41">
        <f t="shared" si="3"/>
        <v>6958118</v>
      </c>
      <c r="I36" s="41">
        <f t="shared" si="3"/>
        <v>8589683</v>
      </c>
      <c r="J36" s="41">
        <f t="shared" si="3"/>
        <v>12864683</v>
      </c>
      <c r="K36" s="41">
        <f t="shared" si="3"/>
        <v>14864771</v>
      </c>
      <c r="L36" s="41">
        <f t="shared" si="3"/>
        <v>15851426</v>
      </c>
      <c r="M36" s="41">
        <f t="shared" si="3"/>
        <v>17569501</v>
      </c>
      <c r="N36" s="322">
        <f t="shared" si="3"/>
        <v>21335027</v>
      </c>
      <c r="S36" s="317"/>
    </row>
    <row r="37" spans="1:19" x14ac:dyDescent="0.2">
      <c r="A37" s="315"/>
      <c r="B37" s="318"/>
      <c r="C37" s="318"/>
      <c r="D37" s="318"/>
      <c r="E37" s="318"/>
      <c r="F37" s="318"/>
      <c r="G37" s="318"/>
      <c r="H37" s="318"/>
      <c r="I37" s="318"/>
      <c r="J37" s="318"/>
      <c r="K37" s="318"/>
      <c r="L37" s="318"/>
      <c r="M37" s="318"/>
      <c r="N37" s="321"/>
      <c r="S37" s="317"/>
    </row>
    <row r="38" spans="1:19" x14ac:dyDescent="0.2">
      <c r="A38" s="315" t="s">
        <v>187</v>
      </c>
      <c r="B38" s="318">
        <v>236217</v>
      </c>
      <c r="C38" s="318">
        <v>312759</v>
      </c>
      <c r="D38" s="318">
        <v>398860</v>
      </c>
      <c r="E38" s="318">
        <v>439735</v>
      </c>
      <c r="F38" s="318">
        <v>424041</v>
      </c>
      <c r="G38" s="318">
        <v>703564</v>
      </c>
      <c r="H38" s="318">
        <v>922000</v>
      </c>
      <c r="I38" s="318">
        <v>1101769</v>
      </c>
      <c r="J38" s="318">
        <v>1009194</v>
      </c>
      <c r="K38" s="318">
        <v>1564582</v>
      </c>
      <c r="L38" s="318">
        <v>1258175</v>
      </c>
      <c r="M38" s="318">
        <v>1888315</v>
      </c>
      <c r="N38" s="321">
        <v>2004563</v>
      </c>
      <c r="S38" s="317"/>
    </row>
    <row r="39" spans="1:19" x14ac:dyDescent="0.2">
      <c r="A39" s="315" t="s">
        <v>19</v>
      </c>
      <c r="B39" s="318">
        <v>692418</v>
      </c>
      <c r="C39" s="318">
        <v>780739</v>
      </c>
      <c r="D39" s="318">
        <v>931732</v>
      </c>
      <c r="E39" s="318">
        <v>1155641</v>
      </c>
      <c r="F39" s="318">
        <v>860976</v>
      </c>
      <c r="G39" s="318">
        <v>738712</v>
      </c>
      <c r="H39" s="318">
        <v>699515</v>
      </c>
      <c r="I39" s="318">
        <v>377547</v>
      </c>
      <c r="J39" s="318">
        <v>669735</v>
      </c>
      <c r="K39" s="318">
        <v>1281537</v>
      </c>
      <c r="L39" s="318">
        <v>1413552</v>
      </c>
      <c r="M39" s="318">
        <v>1685130</v>
      </c>
      <c r="N39" s="321">
        <v>1591681</v>
      </c>
      <c r="S39" s="317"/>
    </row>
    <row r="40" spans="1:19" x14ac:dyDescent="0.2">
      <c r="A40" s="315" t="s">
        <v>186</v>
      </c>
      <c r="B40" s="318">
        <v>18605</v>
      </c>
      <c r="C40" s="318">
        <v>13926</v>
      </c>
      <c r="D40" s="318">
        <v>6702</v>
      </c>
      <c r="E40" s="318">
        <v>7995</v>
      </c>
      <c r="F40" s="318">
        <v>28414</v>
      </c>
      <c r="G40" s="318">
        <v>24656</v>
      </c>
      <c r="H40" s="318">
        <v>57510</v>
      </c>
      <c r="I40" s="318">
        <v>57186</v>
      </c>
      <c r="J40" s="318">
        <v>57832</v>
      </c>
      <c r="K40" s="318">
        <v>207688</v>
      </c>
      <c r="L40" s="318">
        <v>109026</v>
      </c>
      <c r="M40" s="318">
        <v>17962</v>
      </c>
      <c r="N40" s="321">
        <v>153593</v>
      </c>
      <c r="S40" s="317"/>
    </row>
    <row r="41" spans="1:19" x14ac:dyDescent="0.2">
      <c r="A41" s="315" t="s">
        <v>185</v>
      </c>
      <c r="B41" s="318">
        <v>8875</v>
      </c>
      <c r="C41" s="318">
        <v>10344</v>
      </c>
      <c r="D41" s="318">
        <v>13763</v>
      </c>
      <c r="E41" s="318">
        <v>15308</v>
      </c>
      <c r="F41" s="318">
        <v>62701</v>
      </c>
      <c r="G41" s="318">
        <v>63007</v>
      </c>
      <c r="H41" s="318">
        <v>54572</v>
      </c>
      <c r="I41" s="318">
        <v>79989</v>
      </c>
      <c r="J41" s="318">
        <v>148613</v>
      </c>
      <c r="K41" s="318">
        <v>149756</v>
      </c>
      <c r="L41" s="318">
        <v>135279</v>
      </c>
      <c r="M41" s="318">
        <v>111208</v>
      </c>
      <c r="N41" s="321">
        <v>133955</v>
      </c>
      <c r="S41" s="317"/>
    </row>
    <row r="42" spans="1:19" x14ac:dyDescent="0.2">
      <c r="A42" s="315" t="s">
        <v>184</v>
      </c>
      <c r="B42" s="318">
        <v>25029</v>
      </c>
      <c r="C42" s="318">
        <v>53200</v>
      </c>
      <c r="D42" s="318">
        <v>110401</v>
      </c>
      <c r="E42" s="318">
        <v>19285</v>
      </c>
      <c r="F42" s="318">
        <v>98652</v>
      </c>
      <c r="G42" s="318">
        <v>42163</v>
      </c>
      <c r="H42" s="318">
        <v>33289</v>
      </c>
      <c r="I42" s="318">
        <v>68264</v>
      </c>
      <c r="J42" s="318">
        <v>568043</v>
      </c>
      <c r="K42" s="318">
        <v>238942</v>
      </c>
      <c r="L42" s="318">
        <v>354070</v>
      </c>
      <c r="M42" s="318">
        <v>531616</v>
      </c>
      <c r="N42" s="321">
        <v>450508</v>
      </c>
      <c r="S42" s="317"/>
    </row>
    <row r="43" spans="1:19" x14ac:dyDescent="0.2">
      <c r="A43" s="315" t="s">
        <v>210</v>
      </c>
      <c r="B43" s="318">
        <v>31433</v>
      </c>
      <c r="C43" s="318">
        <v>51651</v>
      </c>
      <c r="D43" s="318">
        <v>120544</v>
      </c>
      <c r="E43" s="318">
        <v>56604</v>
      </c>
      <c r="F43" s="318">
        <v>42583</v>
      </c>
      <c r="G43" s="318">
        <v>139866</v>
      </c>
      <c r="H43" s="318">
        <v>55230</v>
      </c>
      <c r="I43" s="318">
        <v>358969</v>
      </c>
      <c r="J43" s="318">
        <v>394582</v>
      </c>
      <c r="K43" s="318">
        <v>139585</v>
      </c>
      <c r="L43" s="318">
        <v>113012</v>
      </c>
      <c r="M43" s="318">
        <v>794133</v>
      </c>
      <c r="N43" s="321">
        <v>159003</v>
      </c>
      <c r="S43" s="317"/>
    </row>
    <row r="44" spans="1:19" x14ac:dyDescent="0.2">
      <c r="A44" s="315" t="s">
        <v>209</v>
      </c>
      <c r="B44" s="318">
        <v>126494</v>
      </c>
      <c r="C44" s="318">
        <v>49689</v>
      </c>
      <c r="D44" s="318">
        <v>75564</v>
      </c>
      <c r="E44" s="318">
        <v>81813</v>
      </c>
      <c r="F44" s="318">
        <v>17543</v>
      </c>
      <c r="G44" s="318">
        <v>11567</v>
      </c>
      <c r="H44" s="318">
        <v>12273</v>
      </c>
      <c r="I44" s="318">
        <v>12273</v>
      </c>
      <c r="J44" s="318">
        <v>93775</v>
      </c>
      <c r="K44" s="318">
        <v>86102</v>
      </c>
      <c r="L44" s="318">
        <v>53899</v>
      </c>
      <c r="M44" s="318">
        <v>612844</v>
      </c>
      <c r="N44" s="321">
        <v>590158</v>
      </c>
      <c r="S44" s="317"/>
    </row>
    <row r="45" spans="1:19" x14ac:dyDescent="0.2">
      <c r="A45" s="315" t="s">
        <v>216</v>
      </c>
      <c r="B45" s="318">
        <v>16587</v>
      </c>
      <c r="C45" s="318">
        <v>17724</v>
      </c>
      <c r="D45" s="318">
        <v>20415</v>
      </c>
      <c r="E45" s="318">
        <v>15022</v>
      </c>
      <c r="F45" s="318">
        <v>2446</v>
      </c>
      <c r="G45" s="318">
        <v>2397</v>
      </c>
      <c r="H45" s="318">
        <v>4121</v>
      </c>
      <c r="I45" s="318">
        <v>5429</v>
      </c>
      <c r="J45" s="318">
        <v>32002</v>
      </c>
      <c r="K45" s="318">
        <v>38257</v>
      </c>
      <c r="L45" s="318">
        <v>13594</v>
      </c>
      <c r="M45" s="318">
        <v>13741</v>
      </c>
      <c r="N45" s="321">
        <v>3623</v>
      </c>
      <c r="S45" s="317"/>
    </row>
    <row r="46" spans="1:19" x14ac:dyDescent="0.2">
      <c r="A46" s="315" t="s">
        <v>215</v>
      </c>
      <c r="B46" s="318">
        <v>23923</v>
      </c>
      <c r="C46" s="318">
        <v>17758</v>
      </c>
      <c r="D46" s="318">
        <v>29100</v>
      </c>
      <c r="E46" s="318">
        <v>7112</v>
      </c>
      <c r="F46" s="318">
        <v>83598</v>
      </c>
      <c r="G46" s="318">
        <v>91804</v>
      </c>
      <c r="H46" s="318">
        <v>73759</v>
      </c>
      <c r="I46" s="318">
        <v>86332</v>
      </c>
      <c r="J46" s="318">
        <v>269803</v>
      </c>
      <c r="K46" s="318">
        <v>302370</v>
      </c>
      <c r="L46" s="318">
        <v>197404</v>
      </c>
      <c r="M46" s="318">
        <v>120857</v>
      </c>
      <c r="N46" s="321">
        <v>9441</v>
      </c>
      <c r="S46" s="317"/>
    </row>
    <row r="47" spans="1:19" x14ac:dyDescent="0.2">
      <c r="A47" s="315" t="s">
        <v>208</v>
      </c>
      <c r="B47" s="318">
        <v>0</v>
      </c>
      <c r="C47" s="318">
        <v>0</v>
      </c>
      <c r="D47" s="318">
        <v>0</v>
      </c>
      <c r="E47" s="318">
        <v>0</v>
      </c>
      <c r="F47" s="318">
        <v>0</v>
      </c>
      <c r="G47" s="318">
        <v>0</v>
      </c>
      <c r="H47" s="318">
        <v>114567</v>
      </c>
      <c r="I47" s="318">
        <v>162258</v>
      </c>
      <c r="J47" s="318">
        <v>511932</v>
      </c>
      <c r="K47" s="318">
        <v>523573</v>
      </c>
      <c r="L47" s="318">
        <v>298644</v>
      </c>
      <c r="M47" s="318">
        <v>248995</v>
      </c>
      <c r="N47" s="321">
        <v>249790</v>
      </c>
      <c r="S47" s="317"/>
    </row>
    <row r="48" spans="1:19" x14ac:dyDescent="0.2">
      <c r="A48" s="315" t="s">
        <v>214</v>
      </c>
      <c r="B48" s="318">
        <v>13137</v>
      </c>
      <c r="C48" s="318">
        <v>28452</v>
      </c>
      <c r="D48" s="318">
        <v>34196</v>
      </c>
      <c r="E48" s="318">
        <v>37467</v>
      </c>
      <c r="F48" s="318">
        <v>37486</v>
      </c>
      <c r="G48" s="318">
        <v>58742</v>
      </c>
      <c r="H48" s="318">
        <v>225</v>
      </c>
      <c r="I48" s="318">
        <v>5283</v>
      </c>
      <c r="J48" s="318">
        <v>15048</v>
      </c>
      <c r="K48" s="318">
        <v>14146</v>
      </c>
      <c r="L48" s="318">
        <v>16762</v>
      </c>
      <c r="M48" s="318">
        <v>0</v>
      </c>
      <c r="N48" s="321">
        <v>0</v>
      </c>
      <c r="S48" s="317"/>
    </row>
    <row r="49" spans="1:19" x14ac:dyDescent="0.2">
      <c r="A49" s="315" t="s">
        <v>213</v>
      </c>
      <c r="B49" s="318">
        <v>3028</v>
      </c>
      <c r="C49" s="318">
        <v>7044</v>
      </c>
      <c r="D49" s="318">
        <v>6693</v>
      </c>
      <c r="E49" s="318">
        <v>2394</v>
      </c>
      <c r="F49" s="318">
        <v>3792</v>
      </c>
      <c r="G49" s="318">
        <v>13560</v>
      </c>
      <c r="H49" s="318">
        <v>16375</v>
      </c>
      <c r="I49" s="318">
        <v>21680</v>
      </c>
      <c r="J49" s="318">
        <v>22338</v>
      </c>
      <c r="K49" s="318">
        <v>40670</v>
      </c>
      <c r="L49" s="318">
        <v>74361</v>
      </c>
      <c r="M49" s="318">
        <v>119982</v>
      </c>
      <c r="N49" s="321">
        <v>115523</v>
      </c>
      <c r="S49" s="317"/>
    </row>
    <row r="50" spans="1:19" x14ac:dyDescent="0.2">
      <c r="A50" s="315"/>
      <c r="B50" s="318"/>
      <c r="C50" s="318"/>
      <c r="D50" s="318"/>
      <c r="E50" s="318"/>
      <c r="F50" s="318"/>
      <c r="G50" s="318"/>
      <c r="H50" s="318"/>
      <c r="I50" s="318"/>
      <c r="J50" s="318"/>
      <c r="K50" s="318"/>
      <c r="L50" s="318"/>
      <c r="M50" s="318"/>
      <c r="N50" s="321"/>
      <c r="S50" s="317"/>
    </row>
    <row r="51" spans="1:19" x14ac:dyDescent="0.2">
      <c r="A51" s="320" t="s">
        <v>212</v>
      </c>
      <c r="B51" s="41">
        <f t="shared" ref="B51:N51" si="4">SUM(B38:B49)</f>
        <v>1195746</v>
      </c>
      <c r="C51" s="41">
        <f t="shared" si="4"/>
        <v>1343286</v>
      </c>
      <c r="D51" s="41">
        <f t="shared" si="4"/>
        <v>1747970</v>
      </c>
      <c r="E51" s="41">
        <f t="shared" si="4"/>
        <v>1838376</v>
      </c>
      <c r="F51" s="41">
        <f t="shared" si="4"/>
        <v>1662232</v>
      </c>
      <c r="G51" s="41">
        <f t="shared" si="4"/>
        <v>1890038</v>
      </c>
      <c r="H51" s="41">
        <f t="shared" si="4"/>
        <v>2043436</v>
      </c>
      <c r="I51" s="41">
        <f t="shared" si="4"/>
        <v>2336979</v>
      </c>
      <c r="J51" s="41">
        <f t="shared" si="4"/>
        <v>3792897</v>
      </c>
      <c r="K51" s="41">
        <f t="shared" si="4"/>
        <v>4587208</v>
      </c>
      <c r="L51" s="41">
        <f t="shared" si="4"/>
        <v>4037778</v>
      </c>
      <c r="M51" s="41">
        <f t="shared" si="4"/>
        <v>6144783</v>
      </c>
      <c r="N51" s="322">
        <f t="shared" si="4"/>
        <v>5461838</v>
      </c>
      <c r="S51" s="317"/>
    </row>
    <row r="52" spans="1:19" x14ac:dyDescent="0.2">
      <c r="A52" s="315"/>
      <c r="B52" s="318"/>
      <c r="C52" s="318"/>
      <c r="D52" s="318"/>
      <c r="E52" s="318"/>
      <c r="F52" s="318"/>
      <c r="G52" s="318"/>
      <c r="H52" s="318"/>
      <c r="I52" s="318"/>
      <c r="J52" s="318"/>
      <c r="K52" s="318"/>
      <c r="L52" s="318"/>
      <c r="M52" s="318"/>
      <c r="N52" s="321"/>
      <c r="S52" s="317"/>
    </row>
    <row r="53" spans="1:19" x14ac:dyDescent="0.2">
      <c r="A53" s="315" t="s">
        <v>19</v>
      </c>
      <c r="B53" s="318">
        <v>477871</v>
      </c>
      <c r="C53" s="318">
        <v>551237</v>
      </c>
      <c r="D53" s="318">
        <v>947145</v>
      </c>
      <c r="E53" s="318">
        <v>745604</v>
      </c>
      <c r="F53" s="318">
        <v>728198</v>
      </c>
      <c r="G53" s="318">
        <v>866359</v>
      </c>
      <c r="H53" s="318">
        <v>1160251</v>
      </c>
      <c r="I53" s="318">
        <v>2039736</v>
      </c>
      <c r="J53" s="318">
        <v>1918024</v>
      </c>
      <c r="K53" s="318">
        <v>2172734</v>
      </c>
      <c r="L53" s="318">
        <v>2979827</v>
      </c>
      <c r="M53" s="318">
        <v>3913274</v>
      </c>
      <c r="N53" s="321">
        <v>6136603</v>
      </c>
      <c r="S53" s="317"/>
    </row>
    <row r="54" spans="1:19" x14ac:dyDescent="0.2">
      <c r="A54" s="315" t="s">
        <v>211</v>
      </c>
      <c r="B54" s="318">
        <v>419813</v>
      </c>
      <c r="C54" s="318">
        <v>183511</v>
      </c>
      <c r="D54" s="318">
        <v>153309</v>
      </c>
      <c r="E54" s="318">
        <v>216085</v>
      </c>
      <c r="F54" s="318">
        <v>186975</v>
      </c>
      <c r="G54" s="318">
        <v>196247</v>
      </c>
      <c r="H54" s="318">
        <v>247531</v>
      </c>
      <c r="I54" s="318">
        <v>230802</v>
      </c>
      <c r="J54" s="318">
        <v>360906</v>
      </c>
      <c r="K54" s="318">
        <v>443717</v>
      </c>
      <c r="L54" s="318">
        <v>435872</v>
      </c>
      <c r="M54" s="318">
        <v>172793</v>
      </c>
      <c r="N54" s="321">
        <v>420140</v>
      </c>
      <c r="S54" s="317"/>
    </row>
    <row r="55" spans="1:19" x14ac:dyDescent="0.2">
      <c r="A55" s="315" t="s">
        <v>210</v>
      </c>
      <c r="B55" s="318">
        <v>811</v>
      </c>
      <c r="C55" s="318">
        <v>10292</v>
      </c>
      <c r="D55" s="318">
        <v>31624</v>
      </c>
      <c r="E55" s="318">
        <v>24346</v>
      </c>
      <c r="F55" s="318">
        <v>14372</v>
      </c>
      <c r="G55" s="318">
        <v>7932</v>
      </c>
      <c r="H55" s="318">
        <v>5643</v>
      </c>
      <c r="I55" s="318">
        <v>58152</v>
      </c>
      <c r="J55" s="318">
        <v>139966</v>
      </c>
      <c r="K55" s="318">
        <v>20546</v>
      </c>
      <c r="L55" s="318">
        <v>21864</v>
      </c>
      <c r="M55" s="318">
        <v>415806</v>
      </c>
      <c r="N55" s="321">
        <v>190903</v>
      </c>
      <c r="S55" s="317"/>
    </row>
    <row r="56" spans="1:19" x14ac:dyDescent="0.2">
      <c r="A56" s="315" t="s">
        <v>297</v>
      </c>
      <c r="B56" s="318">
        <v>0</v>
      </c>
      <c r="C56" s="318">
        <v>0</v>
      </c>
      <c r="D56" s="318">
        <v>0</v>
      </c>
      <c r="E56" s="318">
        <v>0</v>
      </c>
      <c r="F56" s="318">
        <v>0</v>
      </c>
      <c r="G56" s="318">
        <v>0</v>
      </c>
      <c r="H56" s="318">
        <v>0</v>
      </c>
      <c r="I56" s="318">
        <v>0</v>
      </c>
      <c r="J56" s="318">
        <v>0</v>
      </c>
      <c r="K56" s="318">
        <v>0</v>
      </c>
      <c r="L56" s="318">
        <v>0</v>
      </c>
      <c r="M56" s="318">
        <v>2099</v>
      </c>
      <c r="N56" s="321">
        <v>12457</v>
      </c>
      <c r="S56" s="317"/>
    </row>
    <row r="57" spans="1:19" x14ac:dyDescent="0.2">
      <c r="A57" s="315" t="s">
        <v>209</v>
      </c>
      <c r="B57" s="318">
        <v>29216</v>
      </c>
      <c r="C57" s="318">
        <v>16751</v>
      </c>
      <c r="D57" s="318">
        <v>36700</v>
      </c>
      <c r="E57" s="318">
        <v>0</v>
      </c>
      <c r="F57" s="318">
        <v>0</v>
      </c>
      <c r="G57" s="318">
        <v>0</v>
      </c>
      <c r="H57" s="318">
        <v>1412</v>
      </c>
      <c r="I57" s="318">
        <v>706</v>
      </c>
      <c r="J57" s="318">
        <v>14862</v>
      </c>
      <c r="K57" s="318">
        <v>14276</v>
      </c>
      <c r="L57" s="318">
        <v>154056</v>
      </c>
      <c r="M57" s="318"/>
      <c r="N57" s="321">
        <v>207965</v>
      </c>
      <c r="S57" s="317"/>
    </row>
    <row r="58" spans="1:19" x14ac:dyDescent="0.2">
      <c r="A58" s="315" t="s">
        <v>208</v>
      </c>
      <c r="B58" s="318">
        <v>0</v>
      </c>
      <c r="C58" s="318">
        <v>0</v>
      </c>
      <c r="D58" s="318">
        <v>0</v>
      </c>
      <c r="E58" s="318">
        <v>0</v>
      </c>
      <c r="F58" s="318">
        <v>0</v>
      </c>
      <c r="G58" s="318">
        <v>0</v>
      </c>
      <c r="H58" s="318">
        <v>515149</v>
      </c>
      <c r="I58" s="318">
        <v>772026</v>
      </c>
      <c r="J58" s="318">
        <v>2824456</v>
      </c>
      <c r="K58" s="318">
        <v>2730474</v>
      </c>
      <c r="L58" s="318">
        <v>2977299</v>
      </c>
      <c r="M58" s="318">
        <v>2815335</v>
      </c>
      <c r="N58" s="321">
        <v>3151770</v>
      </c>
      <c r="S58" s="317"/>
    </row>
    <row r="59" spans="1:19" x14ac:dyDescent="0.2">
      <c r="A59" s="315" t="s">
        <v>298</v>
      </c>
      <c r="B59" s="318">
        <v>0</v>
      </c>
      <c r="C59" s="318">
        <v>0</v>
      </c>
      <c r="D59" s="318">
        <v>0</v>
      </c>
      <c r="E59" s="318">
        <v>0</v>
      </c>
      <c r="F59" s="318">
        <v>0</v>
      </c>
      <c r="G59" s="318">
        <v>0</v>
      </c>
      <c r="H59" s="318">
        <v>0</v>
      </c>
      <c r="I59" s="318">
        <v>0</v>
      </c>
      <c r="J59" s="318">
        <v>0</v>
      </c>
      <c r="K59" s="318">
        <v>0</v>
      </c>
      <c r="L59" s="318">
        <v>0</v>
      </c>
      <c r="M59" s="318">
        <v>0</v>
      </c>
      <c r="N59" s="321">
        <v>77136</v>
      </c>
      <c r="S59" s="317"/>
    </row>
    <row r="60" spans="1:19" x14ac:dyDescent="0.2">
      <c r="A60" s="315" t="s">
        <v>207</v>
      </c>
      <c r="B60" s="318">
        <v>609</v>
      </c>
      <c r="C60" s="318">
        <v>549</v>
      </c>
      <c r="D60" s="318">
        <v>622</v>
      </c>
      <c r="E60" s="318">
        <v>79</v>
      </c>
      <c r="F60" s="318">
        <v>81</v>
      </c>
      <c r="G60" s="318">
        <v>55</v>
      </c>
      <c r="H60" s="318">
        <v>161</v>
      </c>
      <c r="I60" s="318">
        <v>114</v>
      </c>
      <c r="J60" s="318">
        <v>73</v>
      </c>
      <c r="K60" s="318">
        <v>520</v>
      </c>
      <c r="L60" s="318">
        <v>5217</v>
      </c>
      <c r="M60" s="318">
        <v>4988</v>
      </c>
      <c r="N60" s="321">
        <v>23173</v>
      </c>
      <c r="S60" s="317"/>
    </row>
    <row r="61" spans="1:19" x14ac:dyDescent="0.2">
      <c r="A61" s="315"/>
      <c r="B61" s="318"/>
      <c r="C61" s="318"/>
      <c r="D61" s="318"/>
      <c r="E61" s="318"/>
      <c r="F61" s="318"/>
      <c r="G61" s="318"/>
      <c r="H61" s="318"/>
      <c r="I61" s="318"/>
      <c r="J61" s="318"/>
      <c r="K61" s="318"/>
      <c r="L61" s="318"/>
      <c r="M61" s="318"/>
      <c r="N61" s="321"/>
      <c r="S61" s="317"/>
    </row>
    <row r="62" spans="1:19" x14ac:dyDescent="0.2">
      <c r="A62" s="320" t="s">
        <v>206</v>
      </c>
      <c r="B62" s="41">
        <f t="shared" ref="B62:N62" si="5">SUM(B53:B60)</f>
        <v>928320</v>
      </c>
      <c r="C62" s="41">
        <f t="shared" si="5"/>
        <v>762340</v>
      </c>
      <c r="D62" s="41">
        <f t="shared" si="5"/>
        <v>1169400</v>
      </c>
      <c r="E62" s="41">
        <f t="shared" si="5"/>
        <v>986114</v>
      </c>
      <c r="F62" s="41">
        <f t="shared" si="5"/>
        <v>929626</v>
      </c>
      <c r="G62" s="41">
        <f t="shared" si="5"/>
        <v>1070593</v>
      </c>
      <c r="H62" s="41">
        <f t="shared" si="5"/>
        <v>1930147</v>
      </c>
      <c r="I62" s="41">
        <f t="shared" si="5"/>
        <v>3101536</v>
      </c>
      <c r="J62" s="41">
        <f t="shared" si="5"/>
        <v>5258287</v>
      </c>
      <c r="K62" s="41">
        <f t="shared" si="5"/>
        <v>5382267</v>
      </c>
      <c r="L62" s="41">
        <f t="shared" si="5"/>
        <v>6574135</v>
      </c>
      <c r="M62" s="41">
        <f t="shared" si="5"/>
        <v>7324295</v>
      </c>
      <c r="N62" s="322">
        <f t="shared" si="5"/>
        <v>10220147</v>
      </c>
      <c r="S62" s="317"/>
    </row>
    <row r="63" spans="1:19" x14ac:dyDescent="0.2">
      <c r="A63" s="315"/>
      <c r="B63" s="318"/>
      <c r="C63" s="318"/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21"/>
      <c r="S63" s="317"/>
    </row>
    <row r="64" spans="1:19" x14ac:dyDescent="0.2">
      <c r="A64" s="315" t="s">
        <v>205</v>
      </c>
      <c r="B64" s="318">
        <v>557434</v>
      </c>
      <c r="C64" s="318">
        <v>557434</v>
      </c>
      <c r="D64" s="318">
        <v>947522</v>
      </c>
      <c r="E64" s="318">
        <v>947522</v>
      </c>
      <c r="F64" s="318">
        <v>947522</v>
      </c>
      <c r="G64" s="318">
        <v>947522</v>
      </c>
      <c r="H64" s="318">
        <v>947522</v>
      </c>
      <c r="I64" s="318">
        <v>947522</v>
      </c>
      <c r="J64" s="318">
        <v>1512522</v>
      </c>
      <c r="K64" s="318">
        <v>1512522</v>
      </c>
      <c r="L64" s="318">
        <v>2012522</v>
      </c>
      <c r="M64" s="318">
        <v>2012522</v>
      </c>
      <c r="N64" s="321">
        <v>2926680</v>
      </c>
      <c r="O64" s="318"/>
      <c r="P64" s="318"/>
      <c r="Q64" s="318"/>
      <c r="R64" s="318"/>
      <c r="S64" s="321"/>
    </row>
    <row r="65" spans="1:19" x14ac:dyDescent="0.2">
      <c r="A65" s="315" t="s">
        <v>204</v>
      </c>
      <c r="B65" s="318">
        <v>196902</v>
      </c>
      <c r="C65" s="318">
        <v>175360</v>
      </c>
      <c r="D65" s="318">
        <v>75056</v>
      </c>
      <c r="E65" s="318">
        <v>80984</v>
      </c>
      <c r="F65" s="318">
        <v>110566</v>
      </c>
      <c r="G65" s="318">
        <v>102704</v>
      </c>
      <c r="H65" s="318">
        <v>97760</v>
      </c>
      <c r="I65" s="318">
        <v>97504</v>
      </c>
      <c r="J65" s="318">
        <v>164953</v>
      </c>
      <c r="K65" s="318">
        <v>168544</v>
      </c>
      <c r="L65" s="318">
        <v>168704</v>
      </c>
      <c r="M65" s="318">
        <v>-240778</v>
      </c>
      <c r="N65" s="321">
        <v>117357</v>
      </c>
      <c r="O65" s="318"/>
      <c r="P65" s="318"/>
      <c r="Q65" s="318"/>
      <c r="R65" s="318"/>
      <c r="S65" s="321"/>
    </row>
    <row r="66" spans="1:19" x14ac:dyDescent="0.2">
      <c r="A66" s="315" t="s">
        <v>203</v>
      </c>
      <c r="B66" s="318">
        <v>-7019</v>
      </c>
      <c r="C66" s="318">
        <v>-32847</v>
      </c>
      <c r="D66" s="318">
        <v>-32347</v>
      </c>
      <c r="E66" s="318">
        <v>-30652</v>
      </c>
      <c r="F66" s="318">
        <v>-60596</v>
      </c>
      <c r="G66" s="318">
        <v>-36816</v>
      </c>
      <c r="H66" s="318">
        <v>-64321</v>
      </c>
      <c r="I66" s="318">
        <v>-52921</v>
      </c>
      <c r="J66" s="318">
        <v>-116846</v>
      </c>
      <c r="K66" s="318">
        <v>-280170</v>
      </c>
      <c r="L66" s="318">
        <v>-57707</v>
      </c>
      <c r="M66" s="318">
        <v>-48580</v>
      </c>
      <c r="N66" s="321">
        <v>-31666</v>
      </c>
      <c r="O66" s="318"/>
      <c r="P66" s="318"/>
      <c r="Q66" s="318"/>
      <c r="R66" s="318"/>
      <c r="S66" s="321"/>
    </row>
    <row r="67" spans="1:19" x14ac:dyDescent="0.2">
      <c r="A67" s="315" t="s">
        <v>202</v>
      </c>
      <c r="B67" s="318">
        <v>397216</v>
      </c>
      <c r="C67" s="318">
        <v>484936</v>
      </c>
      <c r="D67" s="318">
        <v>291798</v>
      </c>
      <c r="E67" s="318">
        <v>292744</v>
      </c>
      <c r="F67" s="318">
        <v>404975</v>
      </c>
      <c r="G67" s="318">
        <v>496797</v>
      </c>
      <c r="H67" s="318">
        <v>680719</v>
      </c>
      <c r="I67" s="318">
        <v>978074</v>
      </c>
      <c r="J67" s="318">
        <v>1174813</v>
      </c>
      <c r="K67" s="318">
        <v>1891460</v>
      </c>
      <c r="L67" s="318">
        <v>1395452</v>
      </c>
      <c r="M67" s="318">
        <v>1591319</v>
      </c>
      <c r="N67" s="321">
        <v>710489</v>
      </c>
      <c r="O67" s="318"/>
      <c r="P67" s="318"/>
      <c r="Q67" s="318"/>
      <c r="R67" s="318"/>
      <c r="S67" s="321"/>
    </row>
    <row r="68" spans="1:19" x14ac:dyDescent="0.2">
      <c r="A68" s="315" t="s">
        <v>201</v>
      </c>
      <c r="B68" s="318">
        <v>0</v>
      </c>
      <c r="C68" s="318">
        <v>0</v>
      </c>
      <c r="D68" s="318">
        <v>0</v>
      </c>
      <c r="E68" s="318">
        <v>0</v>
      </c>
      <c r="F68" s="318">
        <v>1110732</v>
      </c>
      <c r="G68" s="318">
        <v>1087961</v>
      </c>
      <c r="H68" s="318">
        <v>0</v>
      </c>
      <c r="I68" s="318">
        <v>0</v>
      </c>
      <c r="J68" s="318">
        <v>0</v>
      </c>
      <c r="K68" s="318">
        <v>0</v>
      </c>
      <c r="L68" s="318">
        <v>0</v>
      </c>
      <c r="M68" s="318">
        <v>0</v>
      </c>
      <c r="N68" s="321">
        <v>0</v>
      </c>
      <c r="S68" s="317"/>
    </row>
    <row r="69" spans="1:19" x14ac:dyDescent="0.2">
      <c r="A69" s="315" t="s">
        <v>200</v>
      </c>
      <c r="B69" s="318">
        <v>857123</v>
      </c>
      <c r="C69" s="318">
        <v>985640</v>
      </c>
      <c r="D69" s="318">
        <v>891332</v>
      </c>
      <c r="E69" s="318">
        <v>1129785</v>
      </c>
      <c r="F69" s="318">
        <v>188628</v>
      </c>
      <c r="G69" s="318">
        <v>196585</v>
      </c>
      <c r="H69" s="318">
        <v>1122997</v>
      </c>
      <c r="I69" s="318">
        <v>970200</v>
      </c>
      <c r="J69" s="318">
        <v>789306</v>
      </c>
      <c r="K69" s="318">
        <v>1306441</v>
      </c>
      <c r="L69" s="318">
        <v>1408087</v>
      </c>
      <c r="M69" s="318">
        <v>683187</v>
      </c>
      <c r="N69" s="321">
        <v>1308243</v>
      </c>
      <c r="S69" s="317"/>
    </row>
    <row r="70" spans="1:19" x14ac:dyDescent="0.2">
      <c r="A70" s="315" t="s">
        <v>199</v>
      </c>
      <c r="B70" s="318">
        <v>128337</v>
      </c>
      <c r="C70" s="318">
        <v>189638</v>
      </c>
      <c r="D70" s="318">
        <v>186555</v>
      </c>
      <c r="E70" s="318">
        <v>177851</v>
      </c>
      <c r="F70" s="318">
        <v>0</v>
      </c>
      <c r="G70" s="318">
        <v>0</v>
      </c>
      <c r="H70" s="318">
        <v>199744</v>
      </c>
      <c r="I70" s="318">
        <v>210679</v>
      </c>
      <c r="J70" s="318">
        <v>251328</v>
      </c>
      <c r="K70" s="318">
        <v>297635</v>
      </c>
      <c r="L70" s="318">
        <v>314808</v>
      </c>
      <c r="M70" s="318">
        <v>106872</v>
      </c>
      <c r="N70" s="321">
        <v>624332</v>
      </c>
      <c r="S70" s="317"/>
    </row>
    <row r="71" spans="1:19" x14ac:dyDescent="0.2">
      <c r="A71" s="315"/>
      <c r="B71" s="318"/>
      <c r="C71" s="318"/>
      <c r="D71" s="318"/>
      <c r="E71" s="318"/>
      <c r="F71" s="318"/>
      <c r="G71" s="318"/>
      <c r="H71" s="318"/>
      <c r="I71" s="318"/>
      <c r="J71" s="318"/>
      <c r="K71" s="318"/>
      <c r="L71" s="318"/>
      <c r="M71" s="318"/>
      <c r="N71" s="321"/>
      <c r="S71" s="317"/>
    </row>
    <row r="72" spans="1:19" x14ac:dyDescent="0.2">
      <c r="A72" s="320" t="s">
        <v>198</v>
      </c>
      <c r="B72" s="41">
        <f t="shared" ref="B72:N72" si="6">B36-B51-B62</f>
        <v>2137011</v>
      </c>
      <c r="C72" s="41">
        <f t="shared" si="6"/>
        <v>2393008</v>
      </c>
      <c r="D72" s="41">
        <f t="shared" si="6"/>
        <v>2392263</v>
      </c>
      <c r="E72" s="41">
        <f t="shared" si="6"/>
        <v>2628886</v>
      </c>
      <c r="F72" s="41">
        <f t="shared" si="6"/>
        <v>2701827</v>
      </c>
      <c r="G72" s="41">
        <f t="shared" si="6"/>
        <v>2794900</v>
      </c>
      <c r="H72" s="41">
        <f t="shared" si="6"/>
        <v>2984535</v>
      </c>
      <c r="I72" s="41">
        <f t="shared" si="6"/>
        <v>3151168</v>
      </c>
      <c r="J72" s="41">
        <f t="shared" si="6"/>
        <v>3813499</v>
      </c>
      <c r="K72" s="41">
        <f t="shared" si="6"/>
        <v>4895296</v>
      </c>
      <c r="L72" s="41">
        <f t="shared" si="6"/>
        <v>5239513</v>
      </c>
      <c r="M72" s="41">
        <f t="shared" si="6"/>
        <v>4100423</v>
      </c>
      <c r="N72" s="322">
        <f t="shared" si="6"/>
        <v>5653042</v>
      </c>
      <c r="O72" s="41">
        <f>N72+O74</f>
        <v>5783813.4583413145</v>
      </c>
      <c r="P72" s="41">
        <f t="shared" ref="P72:S72" si="7">O72+P74</f>
        <v>6001722.7619672632</v>
      </c>
      <c r="Q72" s="41">
        <f t="shared" si="7"/>
        <v>6245819.4598308802</v>
      </c>
      <c r="R72" s="41">
        <f t="shared" si="7"/>
        <v>6543184.4620605186</v>
      </c>
      <c r="S72" s="322">
        <f t="shared" si="7"/>
        <v>6859898.548305043</v>
      </c>
    </row>
    <row r="73" spans="1:19" x14ac:dyDescent="0.2">
      <c r="A73" s="315" t="s">
        <v>18</v>
      </c>
      <c r="B73" s="43"/>
      <c r="C73" s="16">
        <f t="shared" ref="C73:N73" si="8">(C72-B72)/B72</f>
        <v>0.11979208342867678</v>
      </c>
      <c r="D73" s="16">
        <f t="shared" si="8"/>
        <v>-3.1132365625188049E-4</v>
      </c>
      <c r="E73" s="16">
        <f t="shared" si="8"/>
        <v>9.8911783528817687E-2</v>
      </c>
      <c r="F73" s="16">
        <f t="shared" si="8"/>
        <v>2.7745973009099673E-2</v>
      </c>
      <c r="G73" s="16">
        <f t="shared" si="8"/>
        <v>3.4448171552064581E-2</v>
      </c>
      <c r="H73" s="16">
        <f t="shared" si="8"/>
        <v>6.7850370317363767E-2</v>
      </c>
      <c r="I73" s="16">
        <f t="shared" si="8"/>
        <v>5.5832148056564924E-2</v>
      </c>
      <c r="J73" s="16">
        <f t="shared" si="8"/>
        <v>0.21018587393626745</v>
      </c>
      <c r="K73" s="16">
        <f t="shared" si="8"/>
        <v>0.28367570045252405</v>
      </c>
      <c r="L73" s="16">
        <f t="shared" si="8"/>
        <v>7.031587058269817E-2</v>
      </c>
      <c r="M73" s="16">
        <f t="shared" si="8"/>
        <v>-0.21740379306244684</v>
      </c>
      <c r="N73" s="323">
        <f t="shared" si="8"/>
        <v>0.37864849553326574</v>
      </c>
      <c r="O73" s="16">
        <f t="shared" ref="O73" si="9">(O72-N72)/N72</f>
        <v>2.3132935920397276E-2</v>
      </c>
      <c r="P73" s="16">
        <f t="shared" ref="P73" si="10">(P72-O72)/O72</f>
        <v>3.7675714335441396E-2</v>
      </c>
      <c r="Q73" s="16">
        <f t="shared" ref="Q73" si="11">(Q72-P72)/P72</f>
        <v>4.0671105205067191E-2</v>
      </c>
      <c r="R73" s="16">
        <f t="shared" ref="R73" si="12">(R72-Q72)/Q72</f>
        <v>4.761024620421709E-2</v>
      </c>
      <c r="S73" s="323">
        <f t="shared" ref="S73" si="13">(S72-R72)/R72</f>
        <v>4.8403661562796262E-2</v>
      </c>
    </row>
    <row r="74" spans="1:19" x14ac:dyDescent="0.2">
      <c r="A74" s="315" t="s">
        <v>232</v>
      </c>
      <c r="B74" s="43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323"/>
      <c r="O74" s="324">
        <f>'Income Statement'!O71*(1-O75)</f>
        <v>130771.45834131404</v>
      </c>
      <c r="P74" s="324">
        <f>'Income Statement'!P71*(1-P75)</f>
        <v>217909.30362594832</v>
      </c>
      <c r="Q74" s="324">
        <f>'Income Statement'!Q71*(1-Q75)</f>
        <v>244096.69786361663</v>
      </c>
      <c r="R74" s="324">
        <f>'Income Statement'!R71*(1-R75)</f>
        <v>297365.00222963881</v>
      </c>
      <c r="S74" s="325">
        <f>'Income Statement'!S71*(1-S75)</f>
        <v>316714.08624452422</v>
      </c>
    </row>
    <row r="75" spans="1:19" x14ac:dyDescent="0.2">
      <c r="A75" s="315" t="s">
        <v>233</v>
      </c>
      <c r="B75" s="43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323"/>
      <c r="O75" s="346">
        <v>0.75</v>
      </c>
      <c r="P75" s="346">
        <v>0.75</v>
      </c>
      <c r="Q75" s="346">
        <v>0.75</v>
      </c>
      <c r="R75" s="346">
        <v>0.75</v>
      </c>
      <c r="S75" s="347">
        <v>0.75</v>
      </c>
    </row>
    <row r="76" spans="1:19" x14ac:dyDescent="0.2">
      <c r="A76" s="315"/>
      <c r="B76" s="42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323"/>
      <c r="S76" s="317"/>
    </row>
    <row r="77" spans="1:19" x14ac:dyDescent="0.2">
      <c r="A77" s="315"/>
      <c r="B77" s="318"/>
      <c r="C77" s="318"/>
      <c r="D77" s="318"/>
      <c r="E77" s="318"/>
      <c r="F77" s="318"/>
      <c r="G77" s="318"/>
      <c r="H77" s="318"/>
      <c r="I77" s="318"/>
      <c r="J77" s="318"/>
      <c r="K77" s="318"/>
      <c r="L77" s="318"/>
      <c r="M77" s="318"/>
      <c r="N77" s="321"/>
      <c r="S77" s="317"/>
    </row>
    <row r="78" spans="1:19" x14ac:dyDescent="0.2">
      <c r="A78" s="320" t="s">
        <v>197</v>
      </c>
      <c r="B78" s="41">
        <f t="shared" ref="B78:N78" si="14">SUM(B72,B62,B51)</f>
        <v>4261077</v>
      </c>
      <c r="C78" s="41">
        <f t="shared" si="14"/>
        <v>4498634</v>
      </c>
      <c r="D78" s="41">
        <f t="shared" si="14"/>
        <v>5309633</v>
      </c>
      <c r="E78" s="41">
        <f t="shared" si="14"/>
        <v>5453376</v>
      </c>
      <c r="F78" s="41">
        <f t="shared" si="14"/>
        <v>5293685</v>
      </c>
      <c r="G78" s="41">
        <f t="shared" si="14"/>
        <v>5755531</v>
      </c>
      <c r="H78" s="41">
        <f t="shared" si="14"/>
        <v>6958118</v>
      </c>
      <c r="I78" s="41">
        <f t="shared" si="14"/>
        <v>8589683</v>
      </c>
      <c r="J78" s="41">
        <f t="shared" si="14"/>
        <v>12864683</v>
      </c>
      <c r="K78" s="41">
        <f t="shared" si="14"/>
        <v>14864771</v>
      </c>
      <c r="L78" s="41">
        <f t="shared" si="14"/>
        <v>15851426</v>
      </c>
      <c r="M78" s="41">
        <f t="shared" si="14"/>
        <v>17569501</v>
      </c>
      <c r="N78" s="322">
        <f t="shared" si="14"/>
        <v>21335027</v>
      </c>
      <c r="S78" s="317"/>
    </row>
    <row r="79" spans="1:19" ht="15" x14ac:dyDescent="0.25">
      <c r="A79" s="348" t="s">
        <v>196</v>
      </c>
      <c r="B79" s="349">
        <f t="shared" ref="B79:N79" si="15">B36-B78</f>
        <v>0</v>
      </c>
      <c r="C79" s="349">
        <f t="shared" si="15"/>
        <v>0</v>
      </c>
      <c r="D79" s="349">
        <f t="shared" si="15"/>
        <v>0</v>
      </c>
      <c r="E79" s="349">
        <f t="shared" si="15"/>
        <v>0</v>
      </c>
      <c r="F79" s="349">
        <f t="shared" si="15"/>
        <v>0</v>
      </c>
      <c r="G79" s="349">
        <f t="shared" si="15"/>
        <v>0</v>
      </c>
      <c r="H79" s="349">
        <f t="shared" si="15"/>
        <v>0</v>
      </c>
      <c r="I79" s="349">
        <f t="shared" si="15"/>
        <v>0</v>
      </c>
      <c r="J79" s="349">
        <f t="shared" si="15"/>
        <v>0</v>
      </c>
      <c r="K79" s="349">
        <f t="shared" si="15"/>
        <v>0</v>
      </c>
      <c r="L79" s="349">
        <f t="shared" si="15"/>
        <v>0</v>
      </c>
      <c r="M79" s="349">
        <f t="shared" si="15"/>
        <v>0</v>
      </c>
      <c r="N79" s="350">
        <f t="shared" si="15"/>
        <v>0</v>
      </c>
      <c r="O79" s="348"/>
      <c r="P79" s="334"/>
      <c r="Q79" s="334"/>
      <c r="R79" s="334"/>
      <c r="S79" s="335"/>
    </row>
    <row r="80" spans="1:19" ht="15" x14ac:dyDescent="0.25">
      <c r="A80" s="315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4" ht="15" x14ac:dyDescent="0.25">
      <c r="A81" s="315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4" ht="15" x14ac:dyDescent="0.25">
      <c r="A82" s="315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4" ht="15" x14ac:dyDescent="0.25">
      <c r="A83" s="315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4" ht="15" customHeight="1" x14ac:dyDescent="0.2">
      <c r="A84" s="407" t="s">
        <v>182</v>
      </c>
      <c r="B84" s="408"/>
      <c r="C84" s="408"/>
      <c r="D84" s="408"/>
      <c r="E84" s="408"/>
      <c r="F84" s="408"/>
      <c r="G84" s="408"/>
      <c r="H84" s="408"/>
      <c r="I84" s="408"/>
      <c r="J84" s="408"/>
      <c r="K84" s="408"/>
      <c r="L84" s="408"/>
      <c r="M84" s="408"/>
      <c r="N84" s="409"/>
    </row>
    <row r="85" spans="1:14" ht="15" x14ac:dyDescent="0.25">
      <c r="A85" s="315" t="s">
        <v>195</v>
      </c>
      <c r="B85" s="14">
        <f t="shared" ref="B85:N85" si="16">B5</f>
        <v>62438</v>
      </c>
      <c r="C85" s="14">
        <f t="shared" si="16"/>
        <v>120663</v>
      </c>
      <c r="D85" s="14">
        <f t="shared" si="16"/>
        <v>176691</v>
      </c>
      <c r="E85" s="14">
        <f t="shared" si="16"/>
        <v>73392</v>
      </c>
      <c r="F85" s="14">
        <f t="shared" si="16"/>
        <v>168128</v>
      </c>
      <c r="G85" s="14">
        <f t="shared" si="16"/>
        <v>131546</v>
      </c>
      <c r="H85" s="14">
        <f t="shared" si="16"/>
        <v>178405</v>
      </c>
      <c r="I85" s="14">
        <f t="shared" si="16"/>
        <v>207283</v>
      </c>
      <c r="J85" s="14">
        <f t="shared" si="16"/>
        <v>147414</v>
      </c>
      <c r="K85" s="14">
        <f t="shared" si="16"/>
        <v>174291</v>
      </c>
      <c r="L85" s="14">
        <f t="shared" si="16"/>
        <v>143694</v>
      </c>
      <c r="M85" s="14">
        <f t="shared" si="16"/>
        <v>251157</v>
      </c>
      <c r="N85" s="336">
        <f t="shared" si="16"/>
        <v>248085</v>
      </c>
    </row>
    <row r="86" spans="1:14" ht="15" x14ac:dyDescent="0.25">
      <c r="A86" s="315" t="s">
        <v>194</v>
      </c>
      <c r="B86" s="14">
        <f t="shared" ref="B86:N86" si="17">B6</f>
        <v>2550</v>
      </c>
      <c r="C86" s="14">
        <f t="shared" si="17"/>
        <v>5200</v>
      </c>
      <c r="D86" s="14">
        <f t="shared" si="17"/>
        <v>4438</v>
      </c>
      <c r="E86" s="14">
        <f t="shared" si="17"/>
        <v>1728</v>
      </c>
      <c r="F86" s="14">
        <f t="shared" si="17"/>
        <v>9017</v>
      </c>
      <c r="G86" s="14">
        <f t="shared" si="17"/>
        <v>8520</v>
      </c>
      <c r="H86" s="14">
        <f t="shared" si="17"/>
        <v>2443</v>
      </c>
      <c r="I86" s="14">
        <f t="shared" si="17"/>
        <v>3580</v>
      </c>
      <c r="J86" s="14">
        <f t="shared" si="17"/>
        <v>29502</v>
      </c>
      <c r="K86" s="14">
        <f t="shared" si="17"/>
        <v>14924</v>
      </c>
      <c r="L86" s="14">
        <f t="shared" si="17"/>
        <v>9098</v>
      </c>
      <c r="M86" s="14">
        <f t="shared" si="17"/>
        <v>30551</v>
      </c>
      <c r="N86" s="336">
        <f t="shared" si="17"/>
        <v>35652</v>
      </c>
    </row>
    <row r="87" spans="1:14" ht="15" x14ac:dyDescent="0.25">
      <c r="A87" s="315" t="s">
        <v>193</v>
      </c>
      <c r="B87" s="14">
        <f t="shared" ref="B87:N87" si="18">B7</f>
        <v>514819</v>
      </c>
      <c r="C87" s="14">
        <f t="shared" si="18"/>
        <v>622101</v>
      </c>
      <c r="D87" s="14">
        <f t="shared" si="18"/>
        <v>728192</v>
      </c>
      <c r="E87" s="14">
        <f t="shared" si="18"/>
        <v>486425</v>
      </c>
      <c r="F87" s="14">
        <f t="shared" si="18"/>
        <v>569524</v>
      </c>
      <c r="G87" s="14">
        <f t="shared" si="18"/>
        <v>868522</v>
      </c>
      <c r="H87" s="14">
        <f t="shared" si="18"/>
        <v>1071354</v>
      </c>
      <c r="I87" s="14">
        <f t="shared" si="18"/>
        <v>1301082</v>
      </c>
      <c r="J87" s="14">
        <f t="shared" si="18"/>
        <v>2806365</v>
      </c>
      <c r="K87" s="14">
        <f t="shared" si="18"/>
        <v>3343980</v>
      </c>
      <c r="L87" s="14">
        <f t="shared" si="18"/>
        <v>3656261</v>
      </c>
      <c r="M87" s="14">
        <f t="shared" si="18"/>
        <v>3780562</v>
      </c>
      <c r="N87" s="336">
        <f t="shared" si="18"/>
        <v>3722611</v>
      </c>
    </row>
    <row r="88" spans="1:14" ht="15" x14ac:dyDescent="0.25">
      <c r="A88" s="315" t="s">
        <v>192</v>
      </c>
      <c r="B88" s="14">
        <f t="shared" ref="B88:N88" si="19">B9</f>
        <v>78361</v>
      </c>
      <c r="C88" s="14">
        <f t="shared" si="19"/>
        <v>98566</v>
      </c>
      <c r="D88" s="14">
        <f t="shared" si="19"/>
        <v>89321</v>
      </c>
      <c r="E88" s="14">
        <f t="shared" si="19"/>
        <v>66727</v>
      </c>
      <c r="F88" s="14">
        <f t="shared" si="19"/>
        <v>45908</v>
      </c>
      <c r="G88" s="14">
        <f t="shared" si="19"/>
        <v>86943</v>
      </c>
      <c r="H88" s="14">
        <f t="shared" si="19"/>
        <v>41943</v>
      </c>
      <c r="I88" s="14">
        <f t="shared" si="19"/>
        <v>39447</v>
      </c>
      <c r="J88" s="14">
        <f t="shared" si="19"/>
        <v>126936</v>
      </c>
      <c r="K88" s="14">
        <f t="shared" si="19"/>
        <v>139817</v>
      </c>
      <c r="L88" s="14">
        <f t="shared" si="19"/>
        <v>127236</v>
      </c>
      <c r="M88" s="14">
        <f t="shared" si="19"/>
        <v>207078</v>
      </c>
      <c r="N88" s="336">
        <f t="shared" si="19"/>
        <v>290925</v>
      </c>
    </row>
    <row r="89" spans="1:14" ht="15" x14ac:dyDescent="0.25">
      <c r="A89" s="315" t="s">
        <v>191</v>
      </c>
      <c r="B89" s="14">
        <f t="shared" ref="B89:N89" si="20">B10</f>
        <v>10313</v>
      </c>
      <c r="C89" s="14">
        <f t="shared" si="20"/>
        <v>5474</v>
      </c>
      <c r="D89" s="14">
        <f t="shared" si="20"/>
        <v>4444</v>
      </c>
      <c r="E89" s="14">
        <f t="shared" si="20"/>
        <v>7948</v>
      </c>
      <c r="F89" s="14">
        <f t="shared" si="20"/>
        <v>123657</v>
      </c>
      <c r="G89" s="14">
        <f t="shared" si="20"/>
        <v>66342</v>
      </c>
      <c r="H89" s="14">
        <f t="shared" si="20"/>
        <v>71657</v>
      </c>
      <c r="I89" s="14">
        <f t="shared" si="20"/>
        <v>31207</v>
      </c>
      <c r="J89" s="14">
        <f t="shared" si="20"/>
        <v>21919</v>
      </c>
      <c r="K89" s="14">
        <f t="shared" si="20"/>
        <v>25852</v>
      </c>
      <c r="L89" s="14">
        <f t="shared" si="20"/>
        <v>27590</v>
      </c>
      <c r="M89" s="14">
        <f t="shared" si="20"/>
        <v>23176</v>
      </c>
      <c r="N89" s="336">
        <f t="shared" si="20"/>
        <v>84366</v>
      </c>
    </row>
    <row r="90" spans="1:14" ht="15" x14ac:dyDescent="0.25">
      <c r="A90" s="315" t="s">
        <v>190</v>
      </c>
      <c r="B90" s="14">
        <f t="shared" ref="B90:N90" si="21">B12</f>
        <v>4754</v>
      </c>
      <c r="C90" s="14">
        <f t="shared" si="21"/>
        <v>3456</v>
      </c>
      <c r="D90" s="14">
        <f t="shared" si="21"/>
        <v>15812</v>
      </c>
      <c r="E90" s="14">
        <f t="shared" si="21"/>
        <v>2507</v>
      </c>
      <c r="F90" s="14">
        <f t="shared" si="21"/>
        <v>3916</v>
      </c>
      <c r="G90" s="14">
        <f t="shared" si="21"/>
        <v>5290</v>
      </c>
      <c r="H90" s="14">
        <f t="shared" si="21"/>
        <v>11412</v>
      </c>
      <c r="I90" s="14">
        <f t="shared" si="21"/>
        <v>6217</v>
      </c>
      <c r="J90" s="14">
        <f t="shared" si="21"/>
        <v>23977</v>
      </c>
      <c r="K90" s="14">
        <f t="shared" si="21"/>
        <v>15012</v>
      </c>
      <c r="L90" s="14">
        <f t="shared" si="21"/>
        <v>19980</v>
      </c>
      <c r="M90" s="14">
        <f t="shared" si="21"/>
        <v>15836</v>
      </c>
      <c r="N90" s="336">
        <f t="shared" si="21"/>
        <v>8864</v>
      </c>
    </row>
    <row r="91" spans="1:14" ht="15" x14ac:dyDescent="0.25">
      <c r="A91" s="315" t="s">
        <v>189</v>
      </c>
      <c r="B91" s="14">
        <f t="shared" ref="B91:N91" si="22">B13</f>
        <v>3793</v>
      </c>
      <c r="C91" s="14">
        <f t="shared" si="22"/>
        <v>2712</v>
      </c>
      <c r="D91" s="14">
        <f t="shared" si="22"/>
        <v>5469</v>
      </c>
      <c r="E91" s="14">
        <f t="shared" si="22"/>
        <v>7721</v>
      </c>
      <c r="F91" s="14">
        <f t="shared" si="22"/>
        <v>8354</v>
      </c>
      <c r="G91" s="14">
        <f t="shared" si="22"/>
        <v>5060</v>
      </c>
      <c r="H91" s="14">
        <f t="shared" si="22"/>
        <v>14030</v>
      </c>
      <c r="I91" s="14">
        <f t="shared" si="22"/>
        <v>17141</v>
      </c>
      <c r="J91" s="14">
        <f t="shared" si="22"/>
        <v>14275</v>
      </c>
      <c r="K91" s="14">
        <f t="shared" si="22"/>
        <v>10183</v>
      </c>
      <c r="L91" s="14">
        <f t="shared" si="22"/>
        <v>10982</v>
      </c>
      <c r="M91" s="14">
        <f t="shared" si="22"/>
        <v>27245</v>
      </c>
      <c r="N91" s="336">
        <f t="shared" si="22"/>
        <v>47153</v>
      </c>
    </row>
    <row r="92" spans="1:14" x14ac:dyDescent="0.2">
      <c r="A92" s="319" t="s">
        <v>188</v>
      </c>
      <c r="B92" s="28">
        <f t="shared" ref="B92:N92" si="23">SUM(B85:B91)</f>
        <v>677028</v>
      </c>
      <c r="C92" s="28">
        <f t="shared" si="23"/>
        <v>858172</v>
      </c>
      <c r="D92" s="28">
        <f t="shared" si="23"/>
        <v>1024367</v>
      </c>
      <c r="E92" s="28">
        <f t="shared" si="23"/>
        <v>646448</v>
      </c>
      <c r="F92" s="28">
        <f t="shared" si="23"/>
        <v>928504</v>
      </c>
      <c r="G92" s="28">
        <f t="shared" si="23"/>
        <v>1172223</v>
      </c>
      <c r="H92" s="28">
        <f t="shared" si="23"/>
        <v>1391244</v>
      </c>
      <c r="I92" s="28">
        <f t="shared" si="23"/>
        <v>1605957</v>
      </c>
      <c r="J92" s="28">
        <f t="shared" si="23"/>
        <v>3170388</v>
      </c>
      <c r="K92" s="28">
        <f t="shared" si="23"/>
        <v>3724059</v>
      </c>
      <c r="L92" s="28">
        <f t="shared" si="23"/>
        <v>3994841</v>
      </c>
      <c r="M92" s="28">
        <f t="shared" si="23"/>
        <v>4335605</v>
      </c>
      <c r="N92" s="337">
        <f t="shared" si="23"/>
        <v>4437656</v>
      </c>
    </row>
    <row r="93" spans="1:14" x14ac:dyDescent="0.2">
      <c r="A93" s="315"/>
      <c r="N93" s="317"/>
    </row>
    <row r="94" spans="1:14" x14ac:dyDescent="0.2">
      <c r="A94" s="315"/>
      <c r="N94" s="317"/>
    </row>
    <row r="95" spans="1:14" x14ac:dyDescent="0.2">
      <c r="A95" s="315" t="s">
        <v>187</v>
      </c>
      <c r="B95" s="327">
        <f t="shared" ref="B95:N95" si="24">B38</f>
        <v>236217</v>
      </c>
      <c r="C95" s="327">
        <f t="shared" si="24"/>
        <v>312759</v>
      </c>
      <c r="D95" s="327">
        <f t="shared" si="24"/>
        <v>398860</v>
      </c>
      <c r="E95" s="327">
        <f t="shared" si="24"/>
        <v>439735</v>
      </c>
      <c r="F95" s="327">
        <f t="shared" si="24"/>
        <v>424041</v>
      </c>
      <c r="G95" s="327">
        <f t="shared" si="24"/>
        <v>703564</v>
      </c>
      <c r="H95" s="327">
        <f t="shared" si="24"/>
        <v>922000</v>
      </c>
      <c r="I95" s="327">
        <f t="shared" si="24"/>
        <v>1101769</v>
      </c>
      <c r="J95" s="327">
        <f t="shared" si="24"/>
        <v>1009194</v>
      </c>
      <c r="K95" s="327">
        <f t="shared" si="24"/>
        <v>1564582</v>
      </c>
      <c r="L95" s="327">
        <f t="shared" si="24"/>
        <v>1258175</v>
      </c>
      <c r="M95" s="327">
        <f t="shared" si="24"/>
        <v>1888315</v>
      </c>
      <c r="N95" s="338">
        <f t="shared" si="24"/>
        <v>2004563</v>
      </c>
    </row>
    <row r="96" spans="1:14" x14ac:dyDescent="0.2">
      <c r="A96" s="315" t="s">
        <v>186</v>
      </c>
      <c r="B96" s="46">
        <f t="shared" ref="B96:N96" si="25">B40</f>
        <v>18605</v>
      </c>
      <c r="C96" s="46">
        <f t="shared" si="25"/>
        <v>13926</v>
      </c>
      <c r="D96" s="46">
        <f t="shared" si="25"/>
        <v>6702</v>
      </c>
      <c r="E96" s="46">
        <f t="shared" si="25"/>
        <v>7995</v>
      </c>
      <c r="F96" s="46">
        <f t="shared" si="25"/>
        <v>28414</v>
      </c>
      <c r="G96" s="46">
        <f t="shared" si="25"/>
        <v>24656</v>
      </c>
      <c r="H96" s="46">
        <f t="shared" si="25"/>
        <v>57510</v>
      </c>
      <c r="I96" s="46">
        <f t="shared" si="25"/>
        <v>57186</v>
      </c>
      <c r="J96" s="46">
        <f t="shared" si="25"/>
        <v>57832</v>
      </c>
      <c r="K96" s="46">
        <f t="shared" si="25"/>
        <v>207688</v>
      </c>
      <c r="L96" s="46">
        <f t="shared" si="25"/>
        <v>109026</v>
      </c>
      <c r="M96" s="46">
        <f t="shared" si="25"/>
        <v>17962</v>
      </c>
      <c r="N96" s="339">
        <f t="shared" si="25"/>
        <v>153593</v>
      </c>
    </row>
    <row r="97" spans="1:14" x14ac:dyDescent="0.2">
      <c r="A97" s="315" t="s">
        <v>185</v>
      </c>
      <c r="B97" s="4">
        <f t="shared" ref="B97:N97" si="26">B41</f>
        <v>8875</v>
      </c>
      <c r="C97" s="4">
        <f t="shared" si="26"/>
        <v>10344</v>
      </c>
      <c r="D97" s="4">
        <f t="shared" si="26"/>
        <v>13763</v>
      </c>
      <c r="E97" s="4">
        <f t="shared" si="26"/>
        <v>15308</v>
      </c>
      <c r="F97" s="4">
        <f t="shared" si="26"/>
        <v>62701</v>
      </c>
      <c r="G97" s="4">
        <f t="shared" si="26"/>
        <v>63007</v>
      </c>
      <c r="H97" s="4">
        <f t="shared" si="26"/>
        <v>54572</v>
      </c>
      <c r="I97" s="4">
        <f t="shared" si="26"/>
        <v>79989</v>
      </c>
      <c r="J97" s="4">
        <f t="shared" si="26"/>
        <v>148613</v>
      </c>
      <c r="K97" s="4">
        <f t="shared" si="26"/>
        <v>149756</v>
      </c>
      <c r="L97" s="4">
        <f t="shared" si="26"/>
        <v>135279</v>
      </c>
      <c r="M97" s="4">
        <f t="shared" si="26"/>
        <v>111208</v>
      </c>
      <c r="N97" s="340">
        <f t="shared" si="26"/>
        <v>133955</v>
      </c>
    </row>
    <row r="98" spans="1:14" x14ac:dyDescent="0.2">
      <c r="A98" s="315" t="s">
        <v>184</v>
      </c>
      <c r="B98" s="327">
        <f t="shared" ref="B98:N98" si="27">B42</f>
        <v>25029</v>
      </c>
      <c r="C98" s="327">
        <f t="shared" si="27"/>
        <v>53200</v>
      </c>
      <c r="D98" s="327">
        <f t="shared" si="27"/>
        <v>110401</v>
      </c>
      <c r="E98" s="327">
        <f t="shared" si="27"/>
        <v>19285</v>
      </c>
      <c r="F98" s="327">
        <f t="shared" si="27"/>
        <v>98652</v>
      </c>
      <c r="G98" s="327">
        <f t="shared" si="27"/>
        <v>42163</v>
      </c>
      <c r="H98" s="327">
        <f t="shared" si="27"/>
        <v>33289</v>
      </c>
      <c r="I98" s="327">
        <f t="shared" si="27"/>
        <v>68264</v>
      </c>
      <c r="J98" s="327">
        <f t="shared" si="27"/>
        <v>568043</v>
      </c>
      <c r="K98" s="327">
        <f t="shared" si="27"/>
        <v>238942</v>
      </c>
      <c r="L98" s="327">
        <f t="shared" si="27"/>
        <v>354070</v>
      </c>
      <c r="M98" s="327">
        <f t="shared" si="27"/>
        <v>531616</v>
      </c>
      <c r="N98" s="338">
        <f t="shared" si="27"/>
        <v>450508</v>
      </c>
    </row>
    <row r="99" spans="1:14" x14ac:dyDescent="0.2">
      <c r="A99" s="319" t="s">
        <v>183</v>
      </c>
      <c r="B99" s="19">
        <f t="shared" ref="B99:N99" si="28">SUM(B95:B98)</f>
        <v>288726</v>
      </c>
      <c r="C99" s="19">
        <f t="shared" si="28"/>
        <v>390229</v>
      </c>
      <c r="D99" s="19">
        <f t="shared" si="28"/>
        <v>529726</v>
      </c>
      <c r="E99" s="19">
        <f t="shared" si="28"/>
        <v>482323</v>
      </c>
      <c r="F99" s="19">
        <f t="shared" si="28"/>
        <v>613808</v>
      </c>
      <c r="G99" s="19">
        <f t="shared" si="28"/>
        <v>833390</v>
      </c>
      <c r="H99" s="19">
        <f t="shared" si="28"/>
        <v>1067371</v>
      </c>
      <c r="I99" s="19">
        <f t="shared" si="28"/>
        <v>1307208</v>
      </c>
      <c r="J99" s="19">
        <f t="shared" si="28"/>
        <v>1783682</v>
      </c>
      <c r="K99" s="19">
        <f t="shared" si="28"/>
        <v>2160968</v>
      </c>
      <c r="L99" s="19">
        <f t="shared" si="28"/>
        <v>1856550</v>
      </c>
      <c r="M99" s="19">
        <f t="shared" si="28"/>
        <v>2549101</v>
      </c>
      <c r="N99" s="341">
        <f t="shared" si="28"/>
        <v>2742619</v>
      </c>
    </row>
    <row r="100" spans="1:14" ht="13.5" thickBot="1" x14ac:dyDescent="0.25">
      <c r="A100" s="328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342"/>
    </row>
    <row r="101" spans="1:14" ht="13.5" thickTop="1" x14ac:dyDescent="0.2">
      <c r="A101" s="326" t="s">
        <v>182</v>
      </c>
      <c r="B101" s="9">
        <f t="shared" ref="B101:N101" si="29">B92-B99</f>
        <v>388302</v>
      </c>
      <c r="C101" s="9">
        <f t="shared" si="29"/>
        <v>467943</v>
      </c>
      <c r="D101" s="9">
        <f t="shared" si="29"/>
        <v>494641</v>
      </c>
      <c r="E101" s="9">
        <f t="shared" si="29"/>
        <v>164125</v>
      </c>
      <c r="F101" s="9">
        <f t="shared" si="29"/>
        <v>314696</v>
      </c>
      <c r="G101" s="9">
        <f t="shared" si="29"/>
        <v>338833</v>
      </c>
      <c r="H101" s="9">
        <f t="shared" si="29"/>
        <v>323873</v>
      </c>
      <c r="I101" s="9">
        <f t="shared" si="29"/>
        <v>298749</v>
      </c>
      <c r="J101" s="9">
        <f t="shared" si="29"/>
        <v>1386706</v>
      </c>
      <c r="K101" s="9">
        <f t="shared" si="29"/>
        <v>1563091</v>
      </c>
      <c r="L101" s="9">
        <f t="shared" si="29"/>
        <v>2138291</v>
      </c>
      <c r="M101" s="9">
        <f t="shared" si="29"/>
        <v>1786504</v>
      </c>
      <c r="N101" s="343">
        <f t="shared" si="29"/>
        <v>1695037</v>
      </c>
    </row>
    <row r="102" spans="1:14" x14ac:dyDescent="0.2">
      <c r="A102" s="315" t="str">
        <f>_xlfn.UNICHAR(916)</f>
        <v>Δ</v>
      </c>
      <c r="C102" s="329">
        <f t="shared" ref="C102:N102" si="30">(C101-B101)</f>
        <v>79641</v>
      </c>
      <c r="D102" s="329">
        <f t="shared" si="30"/>
        <v>26698</v>
      </c>
      <c r="E102" s="329">
        <f t="shared" si="30"/>
        <v>-330516</v>
      </c>
      <c r="F102" s="329">
        <f t="shared" si="30"/>
        <v>150571</v>
      </c>
      <c r="G102" s="329">
        <f t="shared" si="30"/>
        <v>24137</v>
      </c>
      <c r="H102" s="329">
        <f t="shared" si="30"/>
        <v>-14960</v>
      </c>
      <c r="I102" s="329">
        <f t="shared" si="30"/>
        <v>-25124</v>
      </c>
      <c r="J102" s="329">
        <f t="shared" si="30"/>
        <v>1087957</v>
      </c>
      <c r="K102" s="329">
        <f t="shared" si="30"/>
        <v>176385</v>
      </c>
      <c r="L102" s="329">
        <f t="shared" si="30"/>
        <v>575200</v>
      </c>
      <c r="M102" s="329">
        <f t="shared" si="30"/>
        <v>-351787</v>
      </c>
      <c r="N102" s="344">
        <f t="shared" si="30"/>
        <v>-91467</v>
      </c>
    </row>
    <row r="103" spans="1:14" x14ac:dyDescent="0.2">
      <c r="A103" s="330" t="s">
        <v>181</v>
      </c>
      <c r="B103" s="16"/>
      <c r="C103" s="16">
        <f>C102/'Income Statement'!C18</f>
        <v>5.9611348469016563E-2</v>
      </c>
      <c r="D103" s="16">
        <f>D102/'Income Statement'!D18</f>
        <v>1.8017872098618458E-2</v>
      </c>
      <c r="E103" s="16">
        <f>E102/'Income Statement'!E18</f>
        <v>-0.20632169019535626</v>
      </c>
      <c r="F103" s="16">
        <f>F102/'Income Statement'!F18</f>
        <v>8.1036934340982553E-2</v>
      </c>
      <c r="G103" s="16">
        <f>G102/'Income Statement'!G18</f>
        <v>1.1498315768513089E-2</v>
      </c>
      <c r="H103" s="16">
        <f>H102/'Income Statement'!H18</f>
        <v>-5.8992746179371862E-3</v>
      </c>
      <c r="I103" s="16">
        <f>I102/'Income Statement'!I18</f>
        <v>-8.1109342327977587E-3</v>
      </c>
      <c r="J103" s="16">
        <f>J102/'Income Statement'!J18</f>
        <v>0.24934784252878042</v>
      </c>
      <c r="K103" s="16">
        <f>K102/'Income Statement'!K18</f>
        <v>2.3922987470286993E-2</v>
      </c>
      <c r="L103" s="16">
        <f>L102/'Income Statement'!L18</f>
        <v>7.9550985031220864E-2</v>
      </c>
      <c r="M103" s="16">
        <f>M102/'Income Statement'!M18</f>
        <v>-5.0867409587718723E-2</v>
      </c>
      <c r="N103" s="323">
        <f>N102/'Income Statement'!N18</f>
        <v>-1.0693958609620529E-2</v>
      </c>
    </row>
    <row r="104" spans="1:14" x14ac:dyDescent="0.2">
      <c r="A104" s="331" t="s">
        <v>279</v>
      </c>
      <c r="B104" s="332" cm="1">
        <f t="array" ref="B104">GEOMEAN(C103:N103+1)-1</f>
        <v>1.5098274464980577E-2</v>
      </c>
      <c r="C104" s="333"/>
      <c r="D104" s="333"/>
      <c r="E104" s="333"/>
      <c r="F104" s="333"/>
      <c r="G104" s="333"/>
      <c r="H104" s="333"/>
      <c r="I104" s="333"/>
      <c r="J104" s="333"/>
      <c r="K104" s="333"/>
      <c r="L104" s="333"/>
      <c r="M104" s="333"/>
      <c r="N104" s="345"/>
    </row>
  </sheetData>
  <mergeCells count="2">
    <mergeCell ref="A1:S1"/>
    <mergeCell ref="A84:N8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4762A-2585-4704-9167-344C7AC97ABB}">
  <sheetPr>
    <tabColor rgb="FF0D5D3F"/>
  </sheetPr>
  <dimension ref="A1:AG16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Z139" sqref="Z139"/>
    </sheetView>
  </sheetViews>
  <sheetFormatPr defaultRowHeight="12.75" x14ac:dyDescent="0.2"/>
  <cols>
    <col min="1" max="1" width="8.140625" style="1" bestFit="1" customWidth="1"/>
    <col min="2" max="2" width="40.42578125" style="1" bestFit="1" customWidth="1"/>
    <col min="3" max="3" width="21" style="1" customWidth="1"/>
    <col min="4" max="4" width="22.42578125" style="1" bestFit="1" customWidth="1"/>
    <col min="5" max="5" width="14.140625" style="1" bestFit="1" customWidth="1"/>
    <col min="6" max="6" width="12.140625" style="1" bestFit="1" customWidth="1"/>
    <col min="7" max="7" width="11" style="1" bestFit="1" customWidth="1"/>
    <col min="8" max="8" width="16.5703125" style="1" bestFit="1" customWidth="1"/>
    <col min="9" max="9" width="21.28515625" style="1" bestFit="1" customWidth="1"/>
    <col min="10" max="10" width="11.85546875" style="1" customWidth="1"/>
    <col min="11" max="11" width="16.5703125" style="1" customWidth="1"/>
    <col min="12" max="12" width="10" style="1" bestFit="1" customWidth="1"/>
    <col min="13" max="13" width="9.140625" style="1"/>
    <col min="14" max="14" width="10" style="1" bestFit="1" customWidth="1"/>
    <col min="15" max="15" width="46.7109375" style="1" bestFit="1" customWidth="1"/>
    <col min="16" max="16" width="14.28515625" style="1" bestFit="1" customWidth="1"/>
    <col min="17" max="17" width="13.5703125" style="1" bestFit="1" customWidth="1"/>
    <col min="18" max="18" width="14.5703125" style="1" bestFit="1" customWidth="1"/>
    <col min="19" max="19" width="12.85546875" style="1" bestFit="1" customWidth="1"/>
    <col min="20" max="22" width="13.5703125" style="1" bestFit="1" customWidth="1"/>
    <col min="23" max="25" width="12.85546875" style="1" bestFit="1" customWidth="1"/>
    <col min="26" max="26" width="14" style="1" bestFit="1" customWidth="1"/>
    <col min="27" max="27" width="16" style="1" bestFit="1" customWidth="1"/>
    <col min="28" max="28" width="17" style="1" bestFit="1" customWidth="1"/>
    <col min="29" max="33" width="14.7109375" style="1" customWidth="1"/>
    <col min="34" max="34" width="11.85546875" style="1" customWidth="1"/>
    <col min="35" max="35" width="39.5703125" style="1" bestFit="1" customWidth="1"/>
    <col min="36" max="36" width="39.85546875" style="1" bestFit="1" customWidth="1"/>
    <col min="37" max="37" width="18.85546875" style="1" bestFit="1" customWidth="1"/>
    <col min="38" max="38" width="28.85546875" style="1" bestFit="1" customWidth="1"/>
    <col min="39" max="39" width="29" style="1" bestFit="1" customWidth="1"/>
    <col min="40" max="40" width="21" style="1" bestFit="1" customWidth="1"/>
    <col min="41" max="16384" width="9.140625" style="1"/>
  </cols>
  <sheetData>
    <row r="1" spans="1:33" s="40" customFormat="1" ht="20.25" customHeight="1" x14ac:dyDescent="0.25">
      <c r="A1" s="38" t="s">
        <v>284</v>
      </c>
      <c r="B1" s="40" t="s">
        <v>180</v>
      </c>
      <c r="C1" s="38" t="s">
        <v>179</v>
      </c>
      <c r="D1" s="38" t="s">
        <v>178</v>
      </c>
      <c r="E1" s="38" t="s">
        <v>177</v>
      </c>
      <c r="F1" s="38" t="s">
        <v>176</v>
      </c>
      <c r="G1" s="38" t="s">
        <v>175</v>
      </c>
      <c r="H1" s="38" t="s">
        <v>174</v>
      </c>
      <c r="I1" s="38" t="s">
        <v>173</v>
      </c>
      <c r="J1" s="38" t="s">
        <v>172</v>
      </c>
      <c r="K1" s="38" t="s">
        <v>171</v>
      </c>
      <c r="O1" s="38" t="s">
        <v>287</v>
      </c>
      <c r="P1" s="30">
        <v>2013</v>
      </c>
      <c r="Q1" s="30">
        <v>2014</v>
      </c>
      <c r="R1" s="30">
        <v>2015</v>
      </c>
      <c r="S1" s="30">
        <v>2016</v>
      </c>
      <c r="T1" s="30">
        <v>2017</v>
      </c>
      <c r="U1" s="30">
        <v>2018</v>
      </c>
      <c r="V1" s="30">
        <v>2019</v>
      </c>
      <c r="W1" s="30">
        <v>2020</v>
      </c>
      <c r="X1" s="30">
        <v>2021</v>
      </c>
      <c r="Y1" s="30">
        <v>2022</v>
      </c>
      <c r="Z1" s="30">
        <v>2023</v>
      </c>
      <c r="AA1" s="30">
        <v>2024</v>
      </c>
      <c r="AB1" s="30">
        <v>2025</v>
      </c>
      <c r="AC1" s="44">
        <v>2026</v>
      </c>
      <c r="AD1" s="44">
        <v>2027</v>
      </c>
      <c r="AE1" s="44">
        <v>2028</v>
      </c>
      <c r="AF1" s="44">
        <v>2029</v>
      </c>
      <c r="AG1" s="44">
        <v>2030</v>
      </c>
    </row>
    <row r="2" spans="1:33" ht="15" x14ac:dyDescent="0.25">
      <c r="A2" s="30">
        <v>2025</v>
      </c>
      <c r="B2" s="1" t="s">
        <v>166</v>
      </c>
      <c r="C2" s="31">
        <v>2466270</v>
      </c>
      <c r="D2" s="31" t="s">
        <v>67</v>
      </c>
      <c r="E2" s="31">
        <v>842051</v>
      </c>
      <c r="F2" s="31" t="s">
        <v>67</v>
      </c>
      <c r="G2" s="31">
        <v>-9000</v>
      </c>
      <c r="H2" s="31">
        <v>16179</v>
      </c>
      <c r="I2" s="31" t="s">
        <v>67</v>
      </c>
      <c r="J2" s="31" t="s">
        <v>67</v>
      </c>
      <c r="K2" s="31">
        <f t="shared" ref="K2:K9" si="0">SUM(C2:J2)</f>
        <v>3315500</v>
      </c>
      <c r="O2" s="1" t="s">
        <v>166</v>
      </c>
      <c r="P2" s="3" cm="1">
        <f t="array" ref="P2:P13">_xlfn._xlws.FILTER($E:$E,$A:$A=P1)</f>
        <v>53468</v>
      </c>
      <c r="Q2" s="3" cm="1">
        <f t="array" ref="Q2:Q13">_xlfn._xlws.FILTER($E:$E,$A:$A=Q1)</f>
        <v>1321</v>
      </c>
      <c r="R2" s="3" cm="1">
        <f t="array" ref="R2:R13">_xlfn._xlws.FILTER($E:$E,$A:$A=R1)</f>
        <v>85579</v>
      </c>
      <c r="S2" s="3" cm="1">
        <f t="array" ref="S2:S13">_xlfn._xlws.FILTER($E:$E,$A:$A=S1)</f>
        <v>2</v>
      </c>
      <c r="T2" s="3" cm="1">
        <f t="array" ref="T2:T13">_xlfn._xlws.FILTER($E:$E,$A:$A=T1)</f>
        <v>4400</v>
      </c>
      <c r="U2" s="3" cm="1">
        <f t="array" ref="U2:U13">_xlfn._xlws.FILTER($E:$E,$A:$A=U1)</f>
        <v>2005</v>
      </c>
      <c r="V2" s="3" cm="1">
        <f t="array" ref="V2:V13">_xlfn._xlws.FILTER($E:$E,$A:$A=V1)</f>
        <v>3070</v>
      </c>
      <c r="W2" s="3" cm="1">
        <f t="array" ref="W2:W13">_xlfn._xlws.FILTER($E:$E,$A:$A=W1)</f>
        <v>102</v>
      </c>
      <c r="X2" s="3" cm="1">
        <f t="array" ref="X2:X13">_xlfn._xlws.FILTER($E:$E,$A:$A=X1)</f>
        <v>321</v>
      </c>
      <c r="Y2" s="3" cm="1">
        <f t="array" ref="Y2:Y13">_xlfn._xlws.FILTER($E:$E,$A:$A=Y1)</f>
        <v>185</v>
      </c>
      <c r="Z2" s="3" cm="1">
        <f t="array" ref="Z2:Z13">_xlfn._xlws.FILTER($E:$E,$A:$A=Z1)</f>
        <v>365705</v>
      </c>
      <c r="AA2" s="3" cm="1">
        <f t="array" ref="AA2:AA13">_xlfn._xlws.FILTER($E:$E,$A:$A=AA1)</f>
        <v>50910</v>
      </c>
      <c r="AB2" s="3" cm="1">
        <f t="array" ref="AB2:AB13">_xlfn._xlws.FILTER($E:$E,$A:$A=AB1)</f>
        <v>842051</v>
      </c>
    </row>
    <row r="3" spans="1:33" ht="15" x14ac:dyDescent="0.25">
      <c r="A3" s="30">
        <v>2025</v>
      </c>
      <c r="B3" s="1" t="s">
        <v>165</v>
      </c>
      <c r="C3" s="31">
        <v>790417</v>
      </c>
      <c r="D3" s="31">
        <v>117615</v>
      </c>
      <c r="E3" s="31">
        <v>305163</v>
      </c>
      <c r="F3" s="31">
        <v>-6314</v>
      </c>
      <c r="G3" s="31">
        <v>475</v>
      </c>
      <c r="H3" s="31" t="s">
        <v>67</v>
      </c>
      <c r="I3" s="31">
        <v>62</v>
      </c>
      <c r="J3" s="31">
        <v>-155305</v>
      </c>
      <c r="K3" s="31">
        <f t="shared" si="0"/>
        <v>1052113</v>
      </c>
      <c r="O3" s="1" t="s">
        <v>165</v>
      </c>
      <c r="P3" s="3">
        <v>64018</v>
      </c>
      <c r="Q3" s="3">
        <v>76203</v>
      </c>
      <c r="R3" s="3">
        <v>35514</v>
      </c>
      <c r="S3" s="3">
        <v>26439</v>
      </c>
      <c r="T3" s="3">
        <v>32027</v>
      </c>
      <c r="U3" s="3">
        <v>48225</v>
      </c>
      <c r="V3" s="3">
        <v>46403</v>
      </c>
      <c r="W3" s="3">
        <v>76166</v>
      </c>
      <c r="X3" s="3">
        <v>153372</v>
      </c>
      <c r="Y3" s="3">
        <v>187328</v>
      </c>
      <c r="Z3" s="3">
        <v>197866</v>
      </c>
      <c r="AA3" s="3">
        <v>288411</v>
      </c>
      <c r="AB3" s="3">
        <v>305163</v>
      </c>
    </row>
    <row r="4" spans="1:33" ht="15" x14ac:dyDescent="0.25">
      <c r="A4" s="30">
        <v>2025</v>
      </c>
      <c r="B4" s="1" t="s">
        <v>164</v>
      </c>
      <c r="C4" s="31">
        <v>632288</v>
      </c>
      <c r="D4" s="31">
        <v>60973</v>
      </c>
      <c r="E4" s="31">
        <v>966</v>
      </c>
      <c r="F4" s="31">
        <v>-71</v>
      </c>
      <c r="G4" s="31">
        <v>142569</v>
      </c>
      <c r="H4" s="31">
        <v>81</v>
      </c>
      <c r="I4" s="31">
        <v>-18</v>
      </c>
      <c r="J4" s="31">
        <v>-39493</v>
      </c>
      <c r="K4" s="31">
        <f t="shared" si="0"/>
        <v>797295</v>
      </c>
      <c r="O4" s="1" t="s">
        <v>164</v>
      </c>
      <c r="P4" s="3">
        <v>475</v>
      </c>
      <c r="Q4" s="3">
        <v>680</v>
      </c>
      <c r="R4" s="3">
        <v>201</v>
      </c>
      <c r="S4" s="3">
        <v>104</v>
      </c>
      <c r="T4" s="3">
        <v>1779</v>
      </c>
      <c r="U4" s="3">
        <v>2931</v>
      </c>
      <c r="V4" s="3">
        <v>1931</v>
      </c>
      <c r="W4" s="3">
        <v>1373</v>
      </c>
      <c r="X4" s="3">
        <v>1060</v>
      </c>
      <c r="Y4" s="3">
        <v>2442</v>
      </c>
      <c r="Z4" s="3">
        <v>34878</v>
      </c>
      <c r="AA4" s="3">
        <v>1609</v>
      </c>
      <c r="AB4" s="3">
        <v>966</v>
      </c>
    </row>
    <row r="5" spans="1:33" ht="15" x14ac:dyDescent="0.25">
      <c r="A5" s="30">
        <v>2025</v>
      </c>
      <c r="B5" s="1" t="s">
        <v>163</v>
      </c>
      <c r="C5" s="31">
        <v>1048834</v>
      </c>
      <c r="D5" s="31">
        <v>148888</v>
      </c>
      <c r="E5" s="31">
        <v>209512</v>
      </c>
      <c r="F5" s="31">
        <v>-10620</v>
      </c>
      <c r="G5" s="31">
        <v>150853</v>
      </c>
      <c r="H5" s="31">
        <v>861</v>
      </c>
      <c r="I5" s="31">
        <v>-13779</v>
      </c>
      <c r="J5" s="31">
        <v>-124902</v>
      </c>
      <c r="K5" s="31">
        <f t="shared" si="0"/>
        <v>1409647</v>
      </c>
      <c r="N5" s="9"/>
      <c r="O5" s="1" t="s">
        <v>163</v>
      </c>
      <c r="P5" s="3">
        <v>80753</v>
      </c>
      <c r="Q5" s="3">
        <v>51291</v>
      </c>
      <c r="R5" s="3">
        <v>32761</v>
      </c>
      <c r="S5" s="3">
        <v>25879</v>
      </c>
      <c r="T5" s="3">
        <v>37060</v>
      </c>
      <c r="U5" s="3">
        <v>114969</v>
      </c>
      <c r="V5" s="3">
        <v>106099</v>
      </c>
      <c r="W5" s="3">
        <v>89666</v>
      </c>
      <c r="X5" s="3">
        <v>171752</v>
      </c>
      <c r="Y5" s="3">
        <v>230228</v>
      </c>
      <c r="Z5" s="3">
        <v>133736</v>
      </c>
      <c r="AA5" s="3">
        <v>168570</v>
      </c>
      <c r="AB5" s="3">
        <v>209512</v>
      </c>
    </row>
    <row r="6" spans="1:33" ht="15" x14ac:dyDescent="0.25">
      <c r="A6" s="30">
        <v>2025</v>
      </c>
      <c r="B6" s="1" t="s">
        <v>162</v>
      </c>
      <c r="C6" s="31">
        <v>117575</v>
      </c>
      <c r="D6" s="31">
        <v>14700</v>
      </c>
      <c r="E6" s="31">
        <v>3850</v>
      </c>
      <c r="F6" s="31">
        <v>-350</v>
      </c>
      <c r="G6" s="31">
        <v>239</v>
      </c>
      <c r="H6" s="31" t="s">
        <v>67</v>
      </c>
      <c r="I6" s="31">
        <v>-1691</v>
      </c>
      <c r="J6" s="31">
        <v>-10486</v>
      </c>
      <c r="K6" s="31">
        <f t="shared" si="0"/>
        <v>123837</v>
      </c>
      <c r="N6" s="9"/>
      <c r="O6" s="1" t="s">
        <v>162</v>
      </c>
      <c r="P6" s="3">
        <v>7508</v>
      </c>
      <c r="Q6" s="3">
        <v>3456</v>
      </c>
      <c r="R6" s="3">
        <v>2912</v>
      </c>
      <c r="S6" s="3">
        <v>1026</v>
      </c>
      <c r="T6" s="3">
        <v>3440</v>
      </c>
      <c r="U6" s="3">
        <v>19315</v>
      </c>
      <c r="V6" s="3">
        <v>11554</v>
      </c>
      <c r="W6" s="3">
        <v>2636</v>
      </c>
      <c r="X6" s="3">
        <v>3471</v>
      </c>
      <c r="Y6" s="3">
        <v>4797</v>
      </c>
      <c r="Z6" s="3">
        <v>7419</v>
      </c>
      <c r="AA6" s="3">
        <v>96127</v>
      </c>
      <c r="AB6" s="3">
        <v>3850</v>
      </c>
    </row>
    <row r="7" spans="1:33" ht="15" x14ac:dyDescent="0.25">
      <c r="A7" s="30">
        <v>2025</v>
      </c>
      <c r="B7" s="1" t="s">
        <v>161</v>
      </c>
      <c r="C7" s="31">
        <v>25855</v>
      </c>
      <c r="D7" s="31">
        <v>720</v>
      </c>
      <c r="E7" s="31">
        <v>6164</v>
      </c>
      <c r="F7" s="31">
        <v>-246</v>
      </c>
      <c r="G7" s="31">
        <v>579</v>
      </c>
      <c r="H7" s="31">
        <v>45</v>
      </c>
      <c r="I7" s="31">
        <v>-100</v>
      </c>
      <c r="J7" s="31">
        <v>-3917</v>
      </c>
      <c r="K7" s="31">
        <f t="shared" si="0"/>
        <v>29100</v>
      </c>
      <c r="N7" s="9"/>
      <c r="O7" s="1" t="s">
        <v>161</v>
      </c>
      <c r="P7" s="3">
        <v>991</v>
      </c>
      <c r="Q7" s="3">
        <v>1062</v>
      </c>
      <c r="R7" s="3">
        <v>902</v>
      </c>
      <c r="S7" s="3">
        <v>1484</v>
      </c>
      <c r="T7" s="3">
        <v>987</v>
      </c>
      <c r="U7" s="3">
        <v>2601</v>
      </c>
      <c r="V7" s="3">
        <v>2149</v>
      </c>
      <c r="W7" s="3">
        <v>3033</v>
      </c>
      <c r="X7" s="3">
        <v>3016</v>
      </c>
      <c r="Y7" s="3">
        <v>4710</v>
      </c>
      <c r="Z7" s="3">
        <v>6884</v>
      </c>
      <c r="AA7" s="3">
        <v>7810</v>
      </c>
      <c r="AB7" s="3">
        <v>6164</v>
      </c>
    </row>
    <row r="8" spans="1:33" ht="15" x14ac:dyDescent="0.25">
      <c r="A8" s="30">
        <v>2025</v>
      </c>
      <c r="B8" s="1" t="s">
        <v>160</v>
      </c>
      <c r="C8" s="31">
        <v>41139</v>
      </c>
      <c r="D8" s="31">
        <v>-942</v>
      </c>
      <c r="E8" s="31">
        <v>8681</v>
      </c>
      <c r="F8" s="31">
        <v>-262</v>
      </c>
      <c r="G8" s="31">
        <v>877</v>
      </c>
      <c r="H8" s="31">
        <v>30</v>
      </c>
      <c r="I8" s="31" t="s">
        <v>67</v>
      </c>
      <c r="J8" s="31">
        <v>-13652</v>
      </c>
      <c r="K8" s="31">
        <f t="shared" si="0"/>
        <v>35871</v>
      </c>
      <c r="N8" s="9"/>
      <c r="O8" s="1" t="s">
        <v>160</v>
      </c>
      <c r="P8" s="3">
        <v>1672</v>
      </c>
      <c r="Q8" s="3">
        <v>2364</v>
      </c>
      <c r="R8" s="3">
        <v>1537</v>
      </c>
      <c r="S8" s="3">
        <v>1199</v>
      </c>
      <c r="T8" s="3">
        <v>1907</v>
      </c>
      <c r="U8" s="3">
        <v>4632</v>
      </c>
      <c r="V8" s="3">
        <v>6581</v>
      </c>
      <c r="W8" s="3">
        <v>8863</v>
      </c>
      <c r="X8" s="3">
        <v>16259</v>
      </c>
      <c r="Y8" s="3">
        <v>13201</v>
      </c>
      <c r="Z8" s="3">
        <v>15553</v>
      </c>
      <c r="AA8" s="3">
        <v>12283</v>
      </c>
      <c r="AB8" s="3">
        <v>8681</v>
      </c>
    </row>
    <row r="9" spans="1:33" ht="15" x14ac:dyDescent="0.25">
      <c r="A9" s="30">
        <v>2025</v>
      </c>
      <c r="B9" s="1" t="s">
        <v>111</v>
      </c>
      <c r="C9" s="31">
        <v>14950</v>
      </c>
      <c r="D9" s="31">
        <v>81</v>
      </c>
      <c r="E9" s="31">
        <v>4839</v>
      </c>
      <c r="F9" s="31">
        <v>-78</v>
      </c>
      <c r="G9" s="31">
        <v>474</v>
      </c>
      <c r="H9" s="31">
        <v>-1464</v>
      </c>
      <c r="I9" s="31" t="s">
        <v>67</v>
      </c>
      <c r="J9" s="31">
        <v>-290</v>
      </c>
      <c r="K9" s="31">
        <f t="shared" si="0"/>
        <v>18512</v>
      </c>
      <c r="N9" s="9"/>
      <c r="O9" s="1" t="s">
        <v>111</v>
      </c>
      <c r="P9" s="3">
        <v>373</v>
      </c>
      <c r="Q9" s="3">
        <v>358</v>
      </c>
      <c r="R9" s="3">
        <v>233</v>
      </c>
      <c r="S9" s="3">
        <v>149</v>
      </c>
      <c r="T9" s="3">
        <v>213</v>
      </c>
      <c r="U9" s="3">
        <v>593</v>
      </c>
      <c r="V9" s="3">
        <v>890</v>
      </c>
      <c r="W9" s="3">
        <v>763</v>
      </c>
      <c r="X9" s="3">
        <v>594</v>
      </c>
      <c r="Y9" s="3">
        <v>910</v>
      </c>
      <c r="Z9" s="3">
        <v>1116</v>
      </c>
      <c r="AA9" s="3">
        <v>2637</v>
      </c>
      <c r="AB9" s="3">
        <v>4839</v>
      </c>
    </row>
    <row r="10" spans="1:33" ht="15" x14ac:dyDescent="0.25">
      <c r="A10" s="30">
        <v>2025</v>
      </c>
      <c r="B10" s="1" t="s">
        <v>159</v>
      </c>
      <c r="C10" s="31"/>
      <c r="D10" s="31"/>
      <c r="E10" s="31"/>
      <c r="F10" s="31"/>
      <c r="G10" s="31"/>
      <c r="H10" s="31"/>
      <c r="I10" s="31"/>
      <c r="J10" s="31"/>
      <c r="K10" s="31"/>
      <c r="N10" s="9"/>
      <c r="O10" s="1" t="s">
        <v>159</v>
      </c>
      <c r="P10" s="3">
        <v>16677</v>
      </c>
      <c r="Q10" s="3">
        <v>3252</v>
      </c>
      <c r="R10" s="3" t="str">
        <v>-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</row>
    <row r="11" spans="1:33" ht="15" x14ac:dyDescent="0.25">
      <c r="A11" s="30">
        <v>2025</v>
      </c>
      <c r="B11" s="1" t="s">
        <v>158</v>
      </c>
      <c r="C11" s="31">
        <v>280200</v>
      </c>
      <c r="D11" s="32" t="s">
        <v>170</v>
      </c>
      <c r="E11" s="31">
        <v>348998</v>
      </c>
      <c r="F11" s="31" t="s">
        <v>67</v>
      </c>
      <c r="G11" s="31">
        <v>-287066</v>
      </c>
      <c r="H11" s="31">
        <v>-12122</v>
      </c>
      <c r="I11" s="31" t="s">
        <v>67</v>
      </c>
      <c r="J11" s="31" t="s">
        <v>67</v>
      </c>
      <c r="K11" s="31">
        <f>SUM(C11:J11)</f>
        <v>330010</v>
      </c>
      <c r="N11" s="9"/>
      <c r="O11" s="1" t="s">
        <v>158</v>
      </c>
      <c r="P11" s="3">
        <v>36808</v>
      </c>
      <c r="Q11" s="3">
        <v>55479</v>
      </c>
      <c r="R11" s="3">
        <v>39378</v>
      </c>
      <c r="S11" s="3">
        <v>19725</v>
      </c>
      <c r="T11" s="3">
        <v>48641</v>
      </c>
      <c r="U11" s="3">
        <v>72483</v>
      </c>
      <c r="V11" s="3">
        <v>86519</v>
      </c>
      <c r="W11" s="3">
        <v>27170</v>
      </c>
      <c r="X11" s="3">
        <v>75039</v>
      </c>
      <c r="Y11" s="3">
        <v>142892</v>
      </c>
      <c r="Z11" s="3">
        <v>245249</v>
      </c>
      <c r="AA11" s="3">
        <v>463647</v>
      </c>
      <c r="AB11" s="3">
        <v>348998</v>
      </c>
    </row>
    <row r="12" spans="1:33" ht="15" x14ac:dyDescent="0.25">
      <c r="A12" s="30">
        <v>2025</v>
      </c>
      <c r="B12" s="1" t="s">
        <v>157</v>
      </c>
      <c r="C12" s="31"/>
      <c r="D12" s="32"/>
      <c r="E12" s="31"/>
      <c r="F12" s="31"/>
      <c r="G12" s="31"/>
      <c r="H12" s="31"/>
      <c r="I12" s="31"/>
      <c r="J12" s="31"/>
      <c r="K12" s="31"/>
      <c r="N12" s="9"/>
      <c r="O12" s="1" t="s">
        <v>157</v>
      </c>
      <c r="P12" s="3">
        <v>0</v>
      </c>
      <c r="Q12" s="3">
        <v>0</v>
      </c>
      <c r="R12" s="3" t="str">
        <v>-</v>
      </c>
      <c r="S12" s="3" t="str">
        <v>-</v>
      </c>
      <c r="T12" s="3" t="str">
        <v>-</v>
      </c>
      <c r="U12" s="3" t="str">
        <v>-</v>
      </c>
      <c r="V12" s="3" t="str">
        <v>-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</row>
    <row r="13" spans="1:33" x14ac:dyDescent="0.2">
      <c r="A13" s="30">
        <v>2025</v>
      </c>
      <c r="B13" s="21" t="s">
        <v>150</v>
      </c>
      <c r="C13" s="29">
        <f t="shared" ref="C13:K13" si="1">SUM(C2:C11)</f>
        <v>5417528</v>
      </c>
      <c r="D13" s="29">
        <f t="shared" si="1"/>
        <v>342035</v>
      </c>
      <c r="E13" s="29">
        <f t="shared" si="1"/>
        <v>1730224</v>
      </c>
      <c r="F13" s="29">
        <f t="shared" si="1"/>
        <v>-17941</v>
      </c>
      <c r="G13" s="29">
        <f t="shared" si="1"/>
        <v>0</v>
      </c>
      <c r="H13" s="29">
        <f t="shared" si="1"/>
        <v>3610</v>
      </c>
      <c r="I13" s="29">
        <f t="shared" si="1"/>
        <v>-15526</v>
      </c>
      <c r="J13" s="29">
        <f t="shared" si="1"/>
        <v>-348045</v>
      </c>
      <c r="K13" s="29">
        <f t="shared" si="1"/>
        <v>7111885</v>
      </c>
      <c r="L13" s="9"/>
      <c r="N13" s="9"/>
      <c r="O13" s="21" t="s">
        <v>150</v>
      </c>
      <c r="P13" s="25">
        <v>262743</v>
      </c>
      <c r="Q13" s="25">
        <v>195466</v>
      </c>
      <c r="R13" s="25">
        <v>199017</v>
      </c>
      <c r="S13" s="25">
        <v>76007</v>
      </c>
      <c r="T13" s="25">
        <v>130454</v>
      </c>
      <c r="U13" s="25">
        <v>267754</v>
      </c>
      <c r="V13" s="25">
        <v>265196</v>
      </c>
      <c r="W13" s="25">
        <v>209772</v>
      </c>
      <c r="X13" s="25">
        <v>424884</v>
      </c>
      <c r="Y13" s="25">
        <v>586693</v>
      </c>
      <c r="Z13" s="25">
        <v>1008406</v>
      </c>
      <c r="AA13" s="25">
        <v>1092004</v>
      </c>
      <c r="AB13" s="25">
        <v>1730224</v>
      </c>
    </row>
    <row r="14" spans="1:33" ht="15" x14ac:dyDescent="0.25">
      <c r="A14" s="17"/>
      <c r="C14" s="3"/>
      <c r="D14" s="3"/>
      <c r="E14" s="3"/>
      <c r="F14" s="3"/>
      <c r="G14" s="3"/>
      <c r="H14" s="3"/>
      <c r="I14" s="3"/>
      <c r="J14" s="3"/>
      <c r="K14" s="31"/>
      <c r="N14" s="9"/>
      <c r="O14" s="1" t="str">
        <f>_xlfn.UNICHAR(916)</f>
        <v>Δ</v>
      </c>
      <c r="Q14" s="13">
        <f t="shared" ref="Q14:AB14" si="2">(Q13-P13)/P13</f>
        <v>-0.25605629835999438</v>
      </c>
      <c r="R14" s="13">
        <f t="shared" si="2"/>
        <v>1.8166842315287569E-2</v>
      </c>
      <c r="S14" s="13">
        <f t="shared" si="2"/>
        <v>-0.61808790203851938</v>
      </c>
      <c r="T14" s="13">
        <f t="shared" si="2"/>
        <v>0.71634191587616936</v>
      </c>
      <c r="U14" s="13">
        <f t="shared" si="2"/>
        <v>1.0524782682018183</v>
      </c>
      <c r="V14" s="13">
        <f t="shared" si="2"/>
        <v>-9.5535454185558394E-3</v>
      </c>
      <c r="W14" s="13">
        <f t="shared" si="2"/>
        <v>-0.20899259415677462</v>
      </c>
      <c r="X14" s="13">
        <f t="shared" si="2"/>
        <v>1.0254562095989932</v>
      </c>
      <c r="Y14" s="13">
        <f t="shared" si="2"/>
        <v>0.38083100328560265</v>
      </c>
      <c r="Z14" s="13">
        <f t="shared" si="2"/>
        <v>0.71879671310208237</v>
      </c>
      <c r="AA14" s="13">
        <f t="shared" si="2"/>
        <v>8.2901133075368449E-2</v>
      </c>
      <c r="AB14" s="13">
        <f t="shared" si="2"/>
        <v>0.58444840861388792</v>
      </c>
    </row>
    <row r="15" spans="1:33" ht="15" x14ac:dyDescent="0.25">
      <c r="A15" s="30">
        <v>2024</v>
      </c>
      <c r="B15" s="1" t="s">
        <v>166</v>
      </c>
      <c r="C15" s="31">
        <v>2083280</v>
      </c>
      <c r="D15" s="3"/>
      <c r="E15" s="3">
        <v>50910</v>
      </c>
      <c r="F15" s="3">
        <v>-37844</v>
      </c>
      <c r="G15" s="3">
        <v>3209</v>
      </c>
      <c r="H15" s="3">
        <v>366715</v>
      </c>
      <c r="I15" s="3" t="s">
        <v>67</v>
      </c>
      <c r="J15" s="3" t="s">
        <v>67</v>
      </c>
      <c r="K15" s="32">
        <f t="shared" ref="K15:K22" si="3">SUM(C15:J15)</f>
        <v>2466270</v>
      </c>
      <c r="N15" s="9"/>
    </row>
    <row r="16" spans="1:33" ht="15" x14ac:dyDescent="0.25">
      <c r="A16" s="30">
        <v>2024</v>
      </c>
      <c r="B16" s="1" t="s">
        <v>165</v>
      </c>
      <c r="C16" s="3">
        <v>613121</v>
      </c>
      <c r="D16" s="3"/>
      <c r="E16" s="3">
        <v>288411</v>
      </c>
      <c r="F16" s="3" t="s">
        <v>67</v>
      </c>
      <c r="G16" s="3">
        <v>-1864</v>
      </c>
      <c r="H16" s="3">
        <v>12191</v>
      </c>
      <c r="I16" s="3" t="s">
        <v>67</v>
      </c>
      <c r="J16" s="3">
        <v>-121442</v>
      </c>
      <c r="K16" s="32">
        <f t="shared" si="3"/>
        <v>790417</v>
      </c>
      <c r="N16" s="9"/>
      <c r="O16" s="1" t="s">
        <v>288</v>
      </c>
      <c r="P16" s="10" cm="1">
        <f t="array" ref="P16">_xlfn._xlws.FILTER($C:$C,($A:$A=P$1)*($B:$B="Total"))</f>
        <v>2594571</v>
      </c>
      <c r="Q16" s="10" cm="1">
        <f t="array" ref="Q16">_xlfn._xlws.FILTER($C:$C,($A:$A=Q$1)*($B:$B="Total"))</f>
        <v>2685343</v>
      </c>
      <c r="R16" s="10" cm="1">
        <f t="array" ref="R16">_xlfn._xlws.FILTER($C:$C,($A:$A=R$1)*($B:$B="Total"))</f>
        <v>2753659</v>
      </c>
      <c r="S16" s="10" cm="1">
        <f t="array" ref="S16">_xlfn._xlws.FILTER($C:$C,($A:$A=S$1)*($B:$B="Total"))</f>
        <v>2764677</v>
      </c>
      <c r="T16" s="10" cm="1">
        <f t="array" ref="T16">_xlfn._xlws.FILTER($C:$C,($A:$A=T$1)*($B:$B="Total"))</f>
        <v>2686064</v>
      </c>
      <c r="U16" s="10" cm="1">
        <f t="array" ref="U16">_xlfn._xlws.FILTER($C:$C,($A:$A=U$1)*($B:$B="Total"))</f>
        <v>2647977</v>
      </c>
      <c r="V16" s="10" cm="1">
        <f t="array" ref="V16">_xlfn._xlws.FILTER($C:$C,($A:$A=V$1)*($B:$B="Total"))</f>
        <v>2784265</v>
      </c>
      <c r="W16" s="10" cm="1">
        <f t="array" ref="W16">_xlfn._xlws.FILTER($C:$C,($A:$A=W$1)*($B:$B="Total"))</f>
        <v>2878989</v>
      </c>
      <c r="X16" s="10" cm="1">
        <f t="array" ref="X16">_xlfn._xlws.FILTER($C:$C,($A:$A=X$1)*($B:$B="Total"))</f>
        <v>2944444</v>
      </c>
      <c r="Y16" s="10" cm="1">
        <f t="array" ref="Y16">_xlfn._xlws.FILTER($C:$C,($A:$A=Y$1)*($B:$B="Total"))</f>
        <v>3398063</v>
      </c>
      <c r="Z16" s="10" cm="1">
        <f t="array" ref="Z16">_xlfn._xlws.FILTER($C:$C,($A:$A=Z$1)*($B:$B="Total"))</f>
        <v>3733112</v>
      </c>
      <c r="AA16" s="10" cm="1">
        <f t="array" ref="AA16">_xlfn._xlws.FILTER($C:$C,($A:$A=AA$1)*($B:$B="Total"))</f>
        <v>4395692</v>
      </c>
      <c r="AB16" s="10" cm="1">
        <f t="array" ref="AB16">_xlfn._xlws.FILTER($C:$C,($A:$A=AB$1)*($B:$B="Total"))</f>
        <v>5417528</v>
      </c>
    </row>
    <row r="17" spans="1:28" ht="15" x14ac:dyDescent="0.25">
      <c r="A17" s="30">
        <v>2024</v>
      </c>
      <c r="B17" s="1" t="s">
        <v>164</v>
      </c>
      <c r="C17" s="3">
        <v>533164</v>
      </c>
      <c r="D17" s="3"/>
      <c r="E17" s="3">
        <v>1609</v>
      </c>
      <c r="F17" s="3">
        <v>-150</v>
      </c>
      <c r="G17" s="3">
        <v>122009</v>
      </c>
      <c r="H17" s="3">
        <v>6549</v>
      </c>
      <c r="I17" s="3" t="s">
        <v>67</v>
      </c>
      <c r="J17" s="3">
        <v>-30893</v>
      </c>
      <c r="K17" s="32">
        <f t="shared" si="3"/>
        <v>632288</v>
      </c>
      <c r="N17" s="9"/>
      <c r="O17" s="1" t="s">
        <v>169</v>
      </c>
      <c r="P17" s="3" cm="1">
        <f t="array" ref="P17">_xlfn._xlws.FILTER($K:$K,($A:$A=P$1)*($B:$B="Total"))</f>
        <v>2685343</v>
      </c>
      <c r="Q17" s="3" cm="1">
        <f t="array" ref="Q17">_xlfn._xlws.FILTER($K:$K,($A:$A=Q$1)*($B:$B="Total"))</f>
        <v>2747811</v>
      </c>
      <c r="R17" s="3" cm="1">
        <f t="array" ref="R17">_xlfn._xlws.FILTER($K:$K,($A:$A=R$1)*($B:$B="Total"))</f>
        <v>2764677</v>
      </c>
      <c r="S17" s="3" cm="1">
        <f t="array" ref="S17">_xlfn._xlws.FILTER($K:$K,($A:$A=S$1)*($B:$B="Total"))</f>
        <v>2686064</v>
      </c>
      <c r="T17" s="3" cm="1">
        <f t="array" ref="T17">_xlfn._xlws.FILTER($K:$K,($A:$A=T$1)*($B:$B="Total"))</f>
        <v>2647977</v>
      </c>
      <c r="U17" s="3" cm="1">
        <f t="array" ref="U17">_xlfn._xlws.FILTER($K:$K,($A:$A=U$1)*($B:$B="Total"))</f>
        <v>2784265</v>
      </c>
      <c r="V17" s="3" cm="1">
        <f t="array" ref="V17">_xlfn._xlws.FILTER($K:$K,($A:$A=V$1)*($B:$B="Total"))</f>
        <v>2878993</v>
      </c>
      <c r="W17" s="3" cm="1">
        <f t="array" ref="W17">_xlfn._xlws.FILTER($K:$K,($A:$A=W$1)*($B:$B="Total"))</f>
        <v>2944444</v>
      </c>
      <c r="X17" s="3" cm="1">
        <f t="array" ref="X17">_xlfn._xlws.FILTER($K:$K,($A:$A=X$1)*($B:$B="Total"))</f>
        <v>3398063</v>
      </c>
      <c r="Y17" s="3" cm="1">
        <f t="array" ref="Y17">_xlfn._xlws.FILTER($K:$K,($A:$A=Y$1)*($B:$B="Total"))</f>
        <v>3733112</v>
      </c>
      <c r="Z17" s="3" cm="1">
        <f t="array" ref="Z17">_xlfn._xlws.FILTER($K:$K,($A:$A=Z$1)*($B:$B="Total"))</f>
        <v>4395692</v>
      </c>
      <c r="AA17" s="3" cm="1">
        <f t="array" ref="AA17">_xlfn._xlws.FILTER($K:$K,($A:$A=AA$1)*($B:$B="Total"))</f>
        <v>5417528</v>
      </c>
      <c r="AB17" s="3" cm="1">
        <f t="array" ref="AB17">_xlfn._xlws.FILTER($K:$K,($A:$A=AB$1)*($B:$B="Total"))</f>
        <v>7111885</v>
      </c>
    </row>
    <row r="18" spans="1:28" ht="15" x14ac:dyDescent="0.25">
      <c r="A18" s="30">
        <v>2024</v>
      </c>
      <c r="B18" s="1" t="s">
        <v>163</v>
      </c>
      <c r="C18" s="3">
        <v>862913</v>
      </c>
      <c r="D18" s="3"/>
      <c r="E18" s="3">
        <v>168570</v>
      </c>
      <c r="F18" s="3">
        <v>-13851</v>
      </c>
      <c r="G18" s="3">
        <v>181295</v>
      </c>
      <c r="H18" s="3">
        <v>-1623</v>
      </c>
      <c r="I18" s="3">
        <v>-17173</v>
      </c>
      <c r="J18" s="3">
        <v>-131297</v>
      </c>
      <c r="K18" s="32">
        <f t="shared" si="3"/>
        <v>1048834</v>
      </c>
      <c r="N18" s="9"/>
      <c r="O18" s="1" t="str">
        <f>_xlfn.UNICHAR(916)&amp;"% Ending PPE"</f>
        <v>Δ% Ending PPE</v>
      </c>
      <c r="P18" s="15">
        <f>(P17-P16)/P16</f>
        <v>3.4985359814782485E-2</v>
      </c>
      <c r="Q18" s="39">
        <f t="shared" ref="Q18:AB18" si="4">(Q17-P17)/P17</f>
        <v>2.3262577629747858E-2</v>
      </c>
      <c r="R18" s="39">
        <f t="shared" si="4"/>
        <v>6.1379767385748149E-3</v>
      </c>
      <c r="S18" s="39">
        <f t="shared" si="4"/>
        <v>-2.843478641447084E-2</v>
      </c>
      <c r="T18" s="39">
        <f t="shared" si="4"/>
        <v>-1.4179483437475802E-2</v>
      </c>
      <c r="U18" s="39">
        <f t="shared" si="4"/>
        <v>5.1468724992701977E-2</v>
      </c>
      <c r="V18" s="39">
        <f t="shared" si="4"/>
        <v>3.4022623564926469E-2</v>
      </c>
      <c r="W18" s="39">
        <f t="shared" si="4"/>
        <v>2.2733990669654286E-2</v>
      </c>
      <c r="X18" s="39">
        <f t="shared" si="4"/>
        <v>0.15405930627310283</v>
      </c>
      <c r="Y18" s="39">
        <f t="shared" si="4"/>
        <v>9.8599996527433426E-2</v>
      </c>
      <c r="Z18" s="39">
        <f t="shared" si="4"/>
        <v>0.1774873081761276</v>
      </c>
      <c r="AA18" s="39">
        <f t="shared" si="4"/>
        <v>0.23246305701127376</v>
      </c>
      <c r="AB18" s="39">
        <f t="shared" si="4"/>
        <v>0.31275463643196677</v>
      </c>
    </row>
    <row r="19" spans="1:28" ht="15" x14ac:dyDescent="0.25">
      <c r="A19" s="30">
        <v>2024</v>
      </c>
      <c r="B19" s="1" t="s">
        <v>162</v>
      </c>
      <c r="C19" s="3">
        <v>104587</v>
      </c>
      <c r="D19" s="3"/>
      <c r="E19" s="3">
        <v>96127</v>
      </c>
      <c r="F19" s="3">
        <v>-71221</v>
      </c>
      <c r="G19" s="3">
        <v>804</v>
      </c>
      <c r="H19" s="3">
        <v>-114</v>
      </c>
      <c r="I19" s="3">
        <v>-2683</v>
      </c>
      <c r="J19" s="3">
        <v>-9925</v>
      </c>
      <c r="K19" s="32">
        <f t="shared" si="3"/>
        <v>117575</v>
      </c>
      <c r="N19" s="9"/>
    </row>
    <row r="20" spans="1:28" ht="15" x14ac:dyDescent="0.25">
      <c r="A20" s="30">
        <v>2024</v>
      </c>
      <c r="B20" s="1" t="s">
        <v>161</v>
      </c>
      <c r="C20" s="3">
        <v>20224</v>
      </c>
      <c r="D20" s="3"/>
      <c r="E20" s="3">
        <v>7810</v>
      </c>
      <c r="F20" s="3">
        <v>-207</v>
      </c>
      <c r="G20" s="3">
        <v>1325</v>
      </c>
      <c r="H20" s="3" t="s">
        <v>67</v>
      </c>
      <c r="I20" s="3">
        <v>-162</v>
      </c>
      <c r="J20" s="3">
        <v>-3135</v>
      </c>
      <c r="K20" s="32">
        <f t="shared" si="3"/>
        <v>25855</v>
      </c>
      <c r="N20" s="9"/>
    </row>
    <row r="21" spans="1:28" ht="15" x14ac:dyDescent="0.25">
      <c r="A21" s="30">
        <v>2024</v>
      </c>
      <c r="B21" s="1" t="s">
        <v>160</v>
      </c>
      <c r="C21" s="3">
        <v>41837</v>
      </c>
      <c r="D21" s="3"/>
      <c r="E21" s="3">
        <v>12283</v>
      </c>
      <c r="F21" s="3">
        <v>-469</v>
      </c>
      <c r="G21" s="3">
        <v>336</v>
      </c>
      <c r="H21" s="3">
        <v>122</v>
      </c>
      <c r="I21" s="3" t="s">
        <v>67</v>
      </c>
      <c r="J21" s="3">
        <v>-12970</v>
      </c>
      <c r="K21" s="32">
        <f t="shared" si="3"/>
        <v>41139</v>
      </c>
      <c r="N21" s="9"/>
      <c r="O21" s="38" t="s">
        <v>11</v>
      </c>
      <c r="P21" s="30">
        <v>2013</v>
      </c>
      <c r="Q21" s="30">
        <v>2014</v>
      </c>
      <c r="R21" s="30">
        <v>2015</v>
      </c>
      <c r="S21" s="30">
        <v>2016</v>
      </c>
      <c r="T21" s="30">
        <v>2017</v>
      </c>
      <c r="U21" s="30">
        <v>2018</v>
      </c>
      <c r="V21" s="30">
        <v>2019</v>
      </c>
      <c r="W21" s="30">
        <v>2020</v>
      </c>
      <c r="X21" s="30">
        <v>2021</v>
      </c>
      <c r="Y21" s="30">
        <v>2022</v>
      </c>
      <c r="Z21" s="30">
        <v>2023</v>
      </c>
      <c r="AA21" s="30">
        <v>2024</v>
      </c>
      <c r="AB21" s="30">
        <v>2025</v>
      </c>
    </row>
    <row r="22" spans="1:28" ht="15" x14ac:dyDescent="0.25">
      <c r="A22" s="30">
        <v>2024</v>
      </c>
      <c r="B22" s="1" t="s">
        <v>111</v>
      </c>
      <c r="C22" s="3">
        <v>10278</v>
      </c>
      <c r="D22" s="3"/>
      <c r="E22" s="3">
        <v>2637</v>
      </c>
      <c r="F22" s="3">
        <v>-8</v>
      </c>
      <c r="G22" s="3">
        <v>2573</v>
      </c>
      <c r="H22" s="3">
        <v>-393</v>
      </c>
      <c r="I22" s="3" t="s">
        <v>67</v>
      </c>
      <c r="J22" s="3">
        <v>-137</v>
      </c>
      <c r="K22" s="32">
        <f t="shared" si="3"/>
        <v>14950</v>
      </c>
      <c r="N22" s="9"/>
      <c r="O22" s="1" t="s">
        <v>166</v>
      </c>
      <c r="P22" s="3" t="str" cm="1">
        <f t="array" ref="P22:P33">_xlfn._xlws.FILTER($J:$J,$A:$A=P21)</f>
        <v>-</v>
      </c>
      <c r="Q22" s="3" t="str" cm="1">
        <f t="array" ref="Q22:Q33">_xlfn._xlws.FILTER($J:$J,$A:$A=Q21)</f>
        <v>-</v>
      </c>
      <c r="R22" s="3" t="str" cm="1">
        <f t="array" ref="R22:R33">_xlfn._xlws.FILTER($J:$J,$A:$A=R21)</f>
        <v>-</v>
      </c>
      <c r="S22" s="3" t="str" cm="1">
        <f t="array" ref="S22:S33">_xlfn._xlws.FILTER($J:$J,$A:$A=S21)</f>
        <v>-</v>
      </c>
      <c r="T22" s="3" t="str" cm="1">
        <f t="array" ref="T22:T33">_xlfn._xlws.FILTER($J:$J,$A:$A=T21)</f>
        <v>-</v>
      </c>
      <c r="U22" s="3" t="str" cm="1">
        <f t="array" ref="U22:U33">_xlfn._xlws.FILTER($J:$J,$A:$A=U21)</f>
        <v>-</v>
      </c>
      <c r="V22" s="3" t="str" cm="1">
        <f t="array" ref="V22:V33">_xlfn._xlws.FILTER($J:$J,$A:$A=V21)</f>
        <v>-</v>
      </c>
      <c r="W22" s="3" cm="1">
        <f t="array" ref="W22:W33">_xlfn._xlws.FILTER($J:$J,$A:$A=W21)</f>
        <v>0</v>
      </c>
      <c r="X22" s="3" t="str" cm="1">
        <f t="array" ref="X22:X33">_xlfn._xlws.FILTER($J:$J,$A:$A=X21)</f>
        <v>-</v>
      </c>
      <c r="Y22" s="3" t="str" cm="1">
        <f t="array" ref="Y22:Y33">_xlfn._xlws.FILTER($J:$J,$A:$A=Y21)</f>
        <v>-</v>
      </c>
      <c r="Z22" s="3" t="str" cm="1">
        <f t="array" ref="Z22:Z33">_xlfn._xlws.FILTER($J:$J,$A:$A=Z21)</f>
        <v>-</v>
      </c>
      <c r="AA22" s="3" t="str" cm="1">
        <f t="array" ref="AA22:AA33">_xlfn._xlws.FILTER($J:$J,$A:$A=AA21)</f>
        <v>-</v>
      </c>
      <c r="AB22" s="3" t="str" cm="1">
        <f t="array" ref="AB22:AB33">_xlfn._xlws.FILTER($J:$J,$A:$A=AB21)</f>
        <v>-</v>
      </c>
    </row>
    <row r="23" spans="1:28" ht="15" x14ac:dyDescent="0.25">
      <c r="A23" s="30">
        <v>2024</v>
      </c>
      <c r="B23" s="1" t="s">
        <v>159</v>
      </c>
      <c r="C23" s="3"/>
      <c r="D23" s="3"/>
      <c r="E23" s="3"/>
      <c r="F23" s="3"/>
      <c r="G23" s="3"/>
      <c r="H23" s="3"/>
      <c r="I23" s="3"/>
      <c r="J23" s="3"/>
      <c r="K23" s="32"/>
      <c r="N23" s="9"/>
      <c r="O23" s="1" t="s">
        <v>165</v>
      </c>
      <c r="P23" s="3">
        <v>-47762</v>
      </c>
      <c r="Q23" s="3">
        <v>-34476</v>
      </c>
      <c r="R23" s="3">
        <v>-35167</v>
      </c>
      <c r="S23" s="3">
        <v>-30710</v>
      </c>
      <c r="T23" s="3">
        <v>-28939</v>
      </c>
      <c r="U23" s="3">
        <v>-28760</v>
      </c>
      <c r="V23" s="3">
        <v>-28263</v>
      </c>
      <c r="W23" s="3">
        <v>-34160</v>
      </c>
      <c r="X23" s="3">
        <v>-48698</v>
      </c>
      <c r="Y23" s="3">
        <v>-71664</v>
      </c>
      <c r="Z23" s="3">
        <v>-98573</v>
      </c>
      <c r="AA23" s="3">
        <v>-121442</v>
      </c>
      <c r="AB23" s="3">
        <v>-155305</v>
      </c>
    </row>
    <row r="24" spans="1:28" ht="15" x14ac:dyDescent="0.25">
      <c r="A24" s="30">
        <v>2024</v>
      </c>
      <c r="B24" s="1" t="s">
        <v>158</v>
      </c>
      <c r="C24" s="3">
        <v>126288</v>
      </c>
      <c r="D24" s="3"/>
      <c r="E24" s="3">
        <v>463647</v>
      </c>
      <c r="F24" s="3" t="s">
        <v>67</v>
      </c>
      <c r="G24" s="3">
        <v>-309687</v>
      </c>
      <c r="H24" s="3">
        <v>-48</v>
      </c>
      <c r="I24" s="3" t="s">
        <v>67</v>
      </c>
      <c r="J24" s="3" t="s">
        <v>67</v>
      </c>
      <c r="K24" s="32">
        <f>SUM(C24:J24)</f>
        <v>280200</v>
      </c>
      <c r="N24" s="9"/>
      <c r="O24" s="1" t="s">
        <v>164</v>
      </c>
      <c r="P24" s="3">
        <v>-5134</v>
      </c>
      <c r="Q24" s="3">
        <v>-6742</v>
      </c>
      <c r="R24" s="3">
        <v>-7610</v>
      </c>
      <c r="S24" s="3">
        <v>-8334</v>
      </c>
      <c r="T24" s="3">
        <v>-9829</v>
      </c>
      <c r="U24" s="3">
        <v>-15722</v>
      </c>
      <c r="V24" s="3">
        <v>-17483</v>
      </c>
      <c r="W24" s="3">
        <v>-20186</v>
      </c>
      <c r="X24" s="3">
        <v>-21281</v>
      </c>
      <c r="Y24" s="3">
        <v>-22175</v>
      </c>
      <c r="Z24" s="3">
        <v>-29279</v>
      </c>
      <c r="AA24" s="3">
        <v>-30893</v>
      </c>
      <c r="AB24" s="3">
        <v>-39493</v>
      </c>
    </row>
    <row r="25" spans="1:28" ht="15" x14ac:dyDescent="0.25">
      <c r="A25" s="30">
        <v>2024</v>
      </c>
      <c r="B25" s="1" t="s">
        <v>157</v>
      </c>
      <c r="C25" s="3"/>
      <c r="D25" s="3"/>
      <c r="E25" s="3"/>
      <c r="F25" s="3"/>
      <c r="G25" s="3"/>
      <c r="H25" s="3"/>
      <c r="I25" s="3"/>
      <c r="J25" s="3"/>
      <c r="K25" s="32"/>
      <c r="N25" s="9"/>
      <c r="O25" s="1" t="s">
        <v>163</v>
      </c>
      <c r="P25" s="3">
        <v>-46801</v>
      </c>
      <c r="Q25" s="3">
        <v>-56037</v>
      </c>
      <c r="R25" s="3">
        <v>-54222</v>
      </c>
      <c r="S25" s="3">
        <v>-50810</v>
      </c>
      <c r="T25" s="3">
        <v>-48466</v>
      </c>
      <c r="U25" s="3">
        <v>-64156</v>
      </c>
      <c r="V25" s="3">
        <v>-61294</v>
      </c>
      <c r="W25" s="3">
        <v>-68329</v>
      </c>
      <c r="X25" s="3">
        <v>-90465</v>
      </c>
      <c r="Y25" s="3">
        <v>-105667</v>
      </c>
      <c r="Z25" s="3">
        <v>-123594</v>
      </c>
      <c r="AA25" s="3">
        <v>-131297</v>
      </c>
      <c r="AB25" s="3">
        <v>-124902</v>
      </c>
    </row>
    <row r="26" spans="1:28" ht="15" x14ac:dyDescent="0.25">
      <c r="A26" s="30">
        <v>2024</v>
      </c>
      <c r="B26" s="21" t="s">
        <v>150</v>
      </c>
      <c r="C26" s="29">
        <v>4395692</v>
      </c>
      <c r="D26" s="29"/>
      <c r="E26" s="29">
        <v>1092004</v>
      </c>
      <c r="F26" s="29">
        <v>-123.75</v>
      </c>
      <c r="G26" s="29" t="s">
        <v>67</v>
      </c>
      <c r="H26" s="29">
        <v>383.399</v>
      </c>
      <c r="I26" s="29">
        <v>-20.018000000000001</v>
      </c>
      <c r="J26" s="29">
        <v>-309799</v>
      </c>
      <c r="K26" s="29">
        <f>SUM(K15:K24)</f>
        <v>5417528</v>
      </c>
      <c r="L26" s="9"/>
      <c r="N26" s="9"/>
      <c r="O26" s="1" t="s">
        <v>162</v>
      </c>
      <c r="P26" s="3">
        <v>-1877</v>
      </c>
      <c r="Q26" s="3">
        <v>-2333</v>
      </c>
      <c r="R26" s="3">
        <v>-2264</v>
      </c>
      <c r="S26" s="3">
        <v>-3119</v>
      </c>
      <c r="T26" s="3">
        <v>-2260</v>
      </c>
      <c r="U26" s="3">
        <v>-4240</v>
      </c>
      <c r="V26" s="3">
        <v>-5820</v>
      </c>
      <c r="W26" s="3">
        <v>-5609</v>
      </c>
      <c r="X26" s="3">
        <v>-8409</v>
      </c>
      <c r="Y26" s="3">
        <v>-6715</v>
      </c>
      <c r="Z26" s="3">
        <v>-9080</v>
      </c>
      <c r="AA26" s="3">
        <v>-9925</v>
      </c>
      <c r="AB26" s="3">
        <v>-10486</v>
      </c>
    </row>
    <row r="27" spans="1:28" ht="15" x14ac:dyDescent="0.25">
      <c r="A27" s="17"/>
      <c r="C27" s="3"/>
      <c r="D27" s="3"/>
      <c r="E27" s="3"/>
      <c r="F27" s="3"/>
      <c r="G27" s="3"/>
      <c r="H27" s="3"/>
      <c r="I27" s="3"/>
      <c r="J27" s="3"/>
      <c r="K27" s="3"/>
      <c r="N27" s="9"/>
      <c r="O27" s="1" t="s">
        <v>161</v>
      </c>
      <c r="P27" s="3">
        <v>-900</v>
      </c>
      <c r="Q27" s="3">
        <v>-784</v>
      </c>
      <c r="R27" s="3">
        <v>-800</v>
      </c>
      <c r="S27" s="3">
        <v>-838</v>
      </c>
      <c r="T27" s="3">
        <v>-983</v>
      </c>
      <c r="U27" s="3">
        <v>-1120</v>
      </c>
      <c r="V27" s="3">
        <v>-1216</v>
      </c>
      <c r="W27" s="3">
        <v>-1411</v>
      </c>
      <c r="X27" s="3">
        <v>-1887</v>
      </c>
      <c r="Y27" s="3">
        <v>-2203</v>
      </c>
      <c r="Z27" s="3">
        <v>-2582</v>
      </c>
      <c r="AA27" s="3">
        <v>-3135</v>
      </c>
      <c r="AB27" s="3">
        <v>-3917</v>
      </c>
    </row>
    <row r="28" spans="1:28" ht="15" x14ac:dyDescent="0.25">
      <c r="A28" s="30">
        <v>2023</v>
      </c>
      <c r="B28" s="1" t="s">
        <v>166</v>
      </c>
      <c r="C28" s="31">
        <v>1717425</v>
      </c>
      <c r="D28" s="31"/>
      <c r="E28" s="31">
        <v>365705</v>
      </c>
      <c r="F28" s="31" t="s">
        <v>67</v>
      </c>
      <c r="G28" s="31">
        <v>150</v>
      </c>
      <c r="H28" s="31" t="s">
        <v>67</v>
      </c>
      <c r="I28" s="31" t="s">
        <v>67</v>
      </c>
      <c r="J28" s="31" t="s">
        <v>67</v>
      </c>
      <c r="K28" s="31">
        <v>2083280</v>
      </c>
      <c r="N28" s="9"/>
      <c r="O28" s="1" t="s">
        <v>160</v>
      </c>
      <c r="P28" s="3">
        <v>-795</v>
      </c>
      <c r="Q28" s="3">
        <v>-1275</v>
      </c>
      <c r="R28" s="3">
        <v>-1546</v>
      </c>
      <c r="S28" s="3">
        <v>-1534</v>
      </c>
      <c r="T28" s="3">
        <v>-1626</v>
      </c>
      <c r="U28" s="3">
        <v>-2067</v>
      </c>
      <c r="V28" s="3">
        <v>-2515</v>
      </c>
      <c r="W28" s="3">
        <v>-3618</v>
      </c>
      <c r="X28" s="3">
        <v>-6156</v>
      </c>
      <c r="Y28" s="3">
        <v>-8529</v>
      </c>
      <c r="Z28" s="3">
        <v>-11168</v>
      </c>
      <c r="AA28" s="3">
        <v>-12970</v>
      </c>
      <c r="AB28" s="3">
        <v>-13652</v>
      </c>
    </row>
    <row r="29" spans="1:28" ht="15" x14ac:dyDescent="0.25">
      <c r="A29" s="30">
        <v>2023</v>
      </c>
      <c r="B29" s="1" t="s">
        <v>165</v>
      </c>
      <c r="C29" s="31">
        <v>513509</v>
      </c>
      <c r="D29" s="31"/>
      <c r="E29" s="31">
        <v>197866</v>
      </c>
      <c r="F29" s="31">
        <v>-344</v>
      </c>
      <c r="G29" s="31">
        <v>663</v>
      </c>
      <c r="H29" s="31" t="s">
        <v>67</v>
      </c>
      <c r="I29" s="31" t="s">
        <v>67</v>
      </c>
      <c r="J29" s="31">
        <v>-98573</v>
      </c>
      <c r="K29" s="31">
        <v>613121</v>
      </c>
      <c r="N29" s="9"/>
      <c r="O29" s="1" t="s">
        <v>111</v>
      </c>
      <c r="P29" s="3" t="str">
        <v>-</v>
      </c>
      <c r="Q29" s="3" t="str">
        <v>-</v>
      </c>
      <c r="R29" s="3" t="str">
        <v>-</v>
      </c>
      <c r="S29" s="3">
        <v>-114</v>
      </c>
      <c r="T29" s="3" t="str">
        <v>-</v>
      </c>
      <c r="U29" s="3">
        <v>-5</v>
      </c>
      <c r="V29" s="3">
        <v>-4</v>
      </c>
      <c r="W29" s="3">
        <v>-35</v>
      </c>
      <c r="X29" s="3">
        <v>-85</v>
      </c>
      <c r="Y29" s="3">
        <v>-120</v>
      </c>
      <c r="Z29" s="3">
        <v>-124</v>
      </c>
      <c r="AA29" s="3">
        <v>-137</v>
      </c>
      <c r="AB29" s="3">
        <v>-290</v>
      </c>
    </row>
    <row r="30" spans="1:28" ht="15" x14ac:dyDescent="0.25">
      <c r="A30" s="30">
        <v>2023</v>
      </c>
      <c r="B30" s="1" t="s">
        <v>164</v>
      </c>
      <c r="C30" s="31">
        <v>446759</v>
      </c>
      <c r="D30" s="31"/>
      <c r="E30" s="31">
        <v>34878</v>
      </c>
      <c r="F30" s="31">
        <v>-3366</v>
      </c>
      <c r="G30" s="31">
        <v>85550</v>
      </c>
      <c r="H30" s="31" t="s">
        <v>67</v>
      </c>
      <c r="I30" s="31">
        <v>-1378</v>
      </c>
      <c r="J30" s="31">
        <v>-29279</v>
      </c>
      <c r="K30" s="31">
        <v>533164</v>
      </c>
      <c r="N30" s="9"/>
      <c r="O30" s="1" t="s">
        <v>159</v>
      </c>
      <c r="P30" s="3" t="str">
        <v>-</v>
      </c>
      <c r="Q30" s="3" t="str">
        <v>-</v>
      </c>
      <c r="R30" s="3" t="str">
        <v>-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1:28" ht="15" x14ac:dyDescent="0.25">
      <c r="A31" s="30">
        <v>2023</v>
      </c>
      <c r="B31" s="1" t="s">
        <v>163</v>
      </c>
      <c r="C31" s="31">
        <v>844123</v>
      </c>
      <c r="D31" s="31"/>
      <c r="E31" s="31">
        <v>133736</v>
      </c>
      <c r="F31" s="31">
        <v>-7991</v>
      </c>
      <c r="G31" s="31">
        <v>38419</v>
      </c>
      <c r="H31" s="31">
        <v>-3404</v>
      </c>
      <c r="I31" s="31">
        <v>-18376</v>
      </c>
      <c r="J31" s="31">
        <v>-123594</v>
      </c>
      <c r="K31" s="31">
        <v>862913</v>
      </c>
      <c r="N31" s="9"/>
      <c r="O31" s="1" t="s">
        <v>158</v>
      </c>
      <c r="P31" s="3" t="str">
        <v>-</v>
      </c>
      <c r="Q31" s="3" t="str">
        <v>-</v>
      </c>
      <c r="R31" s="3" t="str">
        <v>-</v>
      </c>
      <c r="S31" s="3" t="str">
        <v>-</v>
      </c>
      <c r="T31" s="3" t="str">
        <v>-</v>
      </c>
      <c r="U31" s="3" t="str">
        <v>-</v>
      </c>
      <c r="V31" s="3" t="str">
        <v>-</v>
      </c>
      <c r="W31" s="3">
        <v>0</v>
      </c>
      <c r="X31" s="3" t="str">
        <v>-</v>
      </c>
      <c r="Y31" s="3" t="str">
        <v>-</v>
      </c>
      <c r="Z31" s="3" t="str">
        <v>-</v>
      </c>
      <c r="AA31" s="3" t="str">
        <v>-</v>
      </c>
      <c r="AB31" s="3" t="str">
        <v>-</v>
      </c>
    </row>
    <row r="32" spans="1:28" ht="15" x14ac:dyDescent="0.25">
      <c r="A32" s="30">
        <v>2023</v>
      </c>
      <c r="B32" s="1" t="s">
        <v>162</v>
      </c>
      <c r="C32" s="31">
        <v>59710</v>
      </c>
      <c r="D32" s="31"/>
      <c r="E32" s="31">
        <v>7419</v>
      </c>
      <c r="F32" s="31">
        <v>-21802</v>
      </c>
      <c r="G32" s="31">
        <v>71842</v>
      </c>
      <c r="H32" s="31">
        <v>444</v>
      </c>
      <c r="I32" s="31">
        <v>-3946</v>
      </c>
      <c r="J32" s="31">
        <v>-9080</v>
      </c>
      <c r="K32" s="31">
        <v>104587</v>
      </c>
      <c r="N32" s="9"/>
      <c r="O32" s="1" t="s">
        <v>157</v>
      </c>
      <c r="P32" s="3">
        <v>0</v>
      </c>
      <c r="Q32" s="3">
        <v>0</v>
      </c>
      <c r="R32" s="3" t="str">
        <v>-</v>
      </c>
      <c r="S32" s="3">
        <v>-2119</v>
      </c>
      <c r="T32" s="3">
        <v>-1414</v>
      </c>
      <c r="U32" s="3">
        <v>-706</v>
      </c>
      <c r="V32" s="3" t="str">
        <v>-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</row>
    <row r="33" spans="1:33" ht="15" x14ac:dyDescent="0.25">
      <c r="A33" s="30">
        <v>2023</v>
      </c>
      <c r="B33" s="1" t="s">
        <v>161</v>
      </c>
      <c r="C33" s="31">
        <v>16110</v>
      </c>
      <c r="D33" s="31"/>
      <c r="E33" s="31">
        <v>6884</v>
      </c>
      <c r="F33" s="31">
        <v>-484</v>
      </c>
      <c r="G33" s="31">
        <v>551</v>
      </c>
      <c r="H33" s="31">
        <v>-9</v>
      </c>
      <c r="I33" s="31">
        <v>-246</v>
      </c>
      <c r="J33" s="31">
        <v>-2582</v>
      </c>
      <c r="K33" s="31">
        <v>20224</v>
      </c>
      <c r="N33" s="9"/>
      <c r="O33" s="21" t="s">
        <v>150</v>
      </c>
      <c r="P33" s="25">
        <v>-103269</v>
      </c>
      <c r="Q33" s="25">
        <v>-101647</v>
      </c>
      <c r="R33" s="25">
        <v>-101609</v>
      </c>
      <c r="S33" s="25">
        <v>-97578</v>
      </c>
      <c r="T33" s="25">
        <v>-93517</v>
      </c>
      <c r="U33" s="25">
        <v>-116776</v>
      </c>
      <c r="V33" s="25">
        <v>-116595</v>
      </c>
      <c r="W33" s="25">
        <v>-133348</v>
      </c>
      <c r="X33" s="25">
        <v>-176981</v>
      </c>
      <c r="Y33" s="25">
        <v>-217073</v>
      </c>
      <c r="Z33" s="25">
        <v>-274400</v>
      </c>
      <c r="AA33" s="25">
        <v>-309799</v>
      </c>
      <c r="AB33" s="25">
        <v>-348045</v>
      </c>
      <c r="AC33" s="25">
        <f>AC34*AB106</f>
        <v>426713.1</v>
      </c>
      <c r="AD33" s="25">
        <f t="shared" ref="AD33:AG33" si="5">AD34*AC106</f>
        <v>445012.97712</v>
      </c>
      <c r="AE33" s="25">
        <f t="shared" si="5"/>
        <v>464409.99476879998</v>
      </c>
      <c r="AF33" s="25">
        <f t="shared" si="5"/>
        <v>484948.08117247198</v>
      </c>
      <c r="AG33" s="25">
        <f t="shared" si="5"/>
        <v>506674.01669641369</v>
      </c>
    </row>
    <row r="34" spans="1:33" ht="15" x14ac:dyDescent="0.25">
      <c r="A34" s="30">
        <v>2023</v>
      </c>
      <c r="B34" s="1" t="s">
        <v>160</v>
      </c>
      <c r="C34" s="31">
        <v>35796</v>
      </c>
      <c r="D34" s="31"/>
      <c r="E34" s="31">
        <v>15553</v>
      </c>
      <c r="F34" s="31">
        <v>-316</v>
      </c>
      <c r="G34" s="31">
        <v>1988</v>
      </c>
      <c r="H34" s="31">
        <v>2</v>
      </c>
      <c r="I34" s="31">
        <v>-18</v>
      </c>
      <c r="J34" s="31">
        <v>-11168</v>
      </c>
      <c r="K34" s="31">
        <v>41837</v>
      </c>
      <c r="N34" s="9"/>
      <c r="O34" s="1" t="s">
        <v>289</v>
      </c>
      <c r="P34" s="2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26">
        <f>DCF!B18</f>
        <v>0.06</v>
      </c>
      <c r="AD34" s="26">
        <f>DCF!C18</f>
        <v>0.06</v>
      </c>
      <c r="AE34" s="26">
        <f>DCF!D18</f>
        <v>0.06</v>
      </c>
      <c r="AF34" s="26">
        <f>DCF!E18</f>
        <v>0.06</v>
      </c>
      <c r="AG34" s="26">
        <f>DCF!F18</f>
        <v>0.06</v>
      </c>
    </row>
    <row r="35" spans="1:33" ht="15" x14ac:dyDescent="0.25">
      <c r="A35" s="30">
        <v>2023</v>
      </c>
      <c r="B35" s="1" t="s">
        <v>111</v>
      </c>
      <c r="C35" s="31">
        <v>9354</v>
      </c>
      <c r="D35" s="31"/>
      <c r="E35" s="31">
        <v>1116</v>
      </c>
      <c r="F35" s="31" t="s">
        <v>67</v>
      </c>
      <c r="G35" s="31">
        <v>225</v>
      </c>
      <c r="H35" s="31">
        <v>-293</v>
      </c>
      <c r="I35" s="31" t="s">
        <v>67</v>
      </c>
      <c r="J35" s="31">
        <v>-124</v>
      </c>
      <c r="K35" s="31">
        <v>10278</v>
      </c>
      <c r="N35" s="9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</row>
    <row r="36" spans="1:33" ht="15" x14ac:dyDescent="0.25">
      <c r="A36" s="30">
        <v>2023</v>
      </c>
      <c r="B36" s="1" t="s">
        <v>159</v>
      </c>
      <c r="C36" s="31"/>
      <c r="D36" s="31"/>
      <c r="E36" s="31"/>
      <c r="F36" s="31"/>
      <c r="G36" s="31"/>
      <c r="H36" s="31"/>
      <c r="I36" s="31"/>
      <c r="J36" s="31"/>
      <c r="K36" s="31"/>
      <c r="N36" s="9"/>
      <c r="O36" s="11" t="s">
        <v>290</v>
      </c>
    </row>
    <row r="37" spans="1:33" ht="15" x14ac:dyDescent="0.25">
      <c r="A37" s="30">
        <v>2023</v>
      </c>
      <c r="B37" s="1" t="s">
        <v>158</v>
      </c>
      <c r="C37" s="31">
        <v>90326</v>
      </c>
      <c r="D37" s="31"/>
      <c r="E37" s="31">
        <v>245249</v>
      </c>
      <c r="F37" s="31" t="s">
        <v>67</v>
      </c>
      <c r="G37" s="31">
        <v>-199388</v>
      </c>
      <c r="H37" s="31">
        <v>-9899</v>
      </c>
      <c r="I37" s="31" t="s">
        <v>67</v>
      </c>
      <c r="J37" s="31" t="s">
        <v>67</v>
      </c>
      <c r="K37" s="31">
        <v>126288</v>
      </c>
      <c r="N37" s="9"/>
      <c r="O37" s="1" t="s">
        <v>166</v>
      </c>
      <c r="P37" s="22">
        <f t="shared" ref="P37:W44" si="6">P2/P$16</f>
        <v>2.0607645734111727E-2</v>
      </c>
      <c r="Q37" s="22">
        <f t="shared" si="6"/>
        <v>4.9192970879325282E-4</v>
      </c>
      <c r="R37" s="22">
        <f t="shared" si="6"/>
        <v>3.1078285292405486E-2</v>
      </c>
      <c r="S37" s="22">
        <f t="shared" si="6"/>
        <v>7.234118126638302E-7</v>
      </c>
      <c r="T37" s="22">
        <f t="shared" si="6"/>
        <v>1.6380845728173267E-3</v>
      </c>
      <c r="U37" s="22">
        <f t="shared" si="6"/>
        <v>7.5718180331626746E-4</v>
      </c>
      <c r="V37" s="22">
        <f t="shared" si="6"/>
        <v>1.1026249297390873E-3</v>
      </c>
      <c r="W37" s="22">
        <f t="shared" si="6"/>
        <v>3.5429103758298485E-5</v>
      </c>
      <c r="X37" s="22">
        <v>0</v>
      </c>
      <c r="Y37" s="22">
        <f t="shared" ref="Y37:AB48" si="7">Y2/Y$16</f>
        <v>5.4442781078514433E-5</v>
      </c>
      <c r="Z37" s="22">
        <f t="shared" si="7"/>
        <v>9.7962504205606482E-2</v>
      </c>
      <c r="AA37" s="22">
        <f t="shared" si="7"/>
        <v>1.1581794174842095E-2</v>
      </c>
      <c r="AB37" s="22">
        <f t="shared" si="7"/>
        <v>0.15543085333384526</v>
      </c>
    </row>
    <row r="38" spans="1:33" ht="15" x14ac:dyDescent="0.25">
      <c r="A38" s="30">
        <v>2023</v>
      </c>
      <c r="B38" s="1" t="s">
        <v>157</v>
      </c>
      <c r="C38" s="31"/>
      <c r="D38" s="31"/>
      <c r="E38" s="31"/>
      <c r="F38" s="31"/>
      <c r="G38" s="31"/>
      <c r="H38" s="31"/>
      <c r="I38" s="31"/>
      <c r="J38" s="31"/>
      <c r="K38" s="31"/>
      <c r="N38" s="9"/>
      <c r="O38" s="1" t="s">
        <v>165</v>
      </c>
      <c r="P38" s="22">
        <f t="shared" si="6"/>
        <v>2.4673828544294993E-2</v>
      </c>
      <c r="Q38" s="22">
        <f t="shared" si="6"/>
        <v>2.8377380468714797E-2</v>
      </c>
      <c r="R38" s="22">
        <f t="shared" si="6"/>
        <v>1.289702174452247E-2</v>
      </c>
      <c r="S38" s="22">
        <f t="shared" si="6"/>
        <v>9.5631424575095027E-3</v>
      </c>
      <c r="T38" s="22">
        <f t="shared" si="6"/>
        <v>1.1923394230368301E-2</v>
      </c>
      <c r="U38" s="22">
        <f t="shared" si="6"/>
        <v>1.8212016191983541E-2</v>
      </c>
      <c r="V38" s="22">
        <f t="shared" si="6"/>
        <v>1.666615785494556E-2</v>
      </c>
      <c r="W38" s="22">
        <f t="shared" si="6"/>
        <v>2.6455814871123161E-2</v>
      </c>
      <c r="X38" s="22">
        <v>0</v>
      </c>
      <c r="Y38" s="22">
        <f t="shared" si="7"/>
        <v>5.5127877264194339E-2</v>
      </c>
      <c r="Z38" s="22">
        <f t="shared" si="7"/>
        <v>5.3002963747136436E-2</v>
      </c>
      <c r="AA38" s="22">
        <f t="shared" si="7"/>
        <v>6.5612194848956654E-2</v>
      </c>
      <c r="AB38" s="22">
        <f t="shared" si="7"/>
        <v>5.6328827465220298E-2</v>
      </c>
    </row>
    <row r="39" spans="1:33" ht="15" x14ac:dyDescent="0.25">
      <c r="A39" s="30">
        <v>2023</v>
      </c>
      <c r="B39" s="21" t="s">
        <v>150</v>
      </c>
      <c r="C39" s="29">
        <f t="shared" ref="C39:K39" si="8">SUM(C28:C37)</f>
        <v>3733112</v>
      </c>
      <c r="D39" s="29">
        <f t="shared" si="8"/>
        <v>0</v>
      </c>
      <c r="E39" s="29">
        <f t="shared" si="8"/>
        <v>1008406</v>
      </c>
      <c r="F39" s="29">
        <f t="shared" si="8"/>
        <v>-34303</v>
      </c>
      <c r="G39" s="29">
        <f t="shared" si="8"/>
        <v>0</v>
      </c>
      <c r="H39" s="29">
        <f t="shared" si="8"/>
        <v>-13159</v>
      </c>
      <c r="I39" s="29">
        <f t="shared" si="8"/>
        <v>-23964</v>
      </c>
      <c r="J39" s="29">
        <f t="shared" si="8"/>
        <v>-274400</v>
      </c>
      <c r="K39" s="29">
        <f t="shared" si="8"/>
        <v>4395692</v>
      </c>
      <c r="L39" s="9"/>
      <c r="N39" s="9"/>
      <c r="O39" s="1" t="s">
        <v>164</v>
      </c>
      <c r="P39" s="22">
        <f t="shared" si="6"/>
        <v>1.8307458150114219E-4</v>
      </c>
      <c r="Q39" s="22">
        <f t="shared" si="6"/>
        <v>2.5322649657790456E-4</v>
      </c>
      <c r="R39" s="22">
        <f t="shared" si="6"/>
        <v>7.2993787538689438E-5</v>
      </c>
      <c r="S39" s="22">
        <f t="shared" si="6"/>
        <v>3.7617414258519167E-5</v>
      </c>
      <c r="T39" s="22">
        <f t="shared" si="6"/>
        <v>6.6230737614591465E-4</v>
      </c>
      <c r="U39" s="22">
        <f t="shared" si="6"/>
        <v>1.1068827259451271E-3</v>
      </c>
      <c r="V39" s="22">
        <f t="shared" si="6"/>
        <v>6.93540305969439E-4</v>
      </c>
      <c r="W39" s="22">
        <f t="shared" si="6"/>
        <v>4.7690352411905706E-4</v>
      </c>
      <c r="X39" s="22">
        <f>X4/X$16</f>
        <v>3.6000005433963085E-4</v>
      </c>
      <c r="Y39" s="22">
        <f t="shared" si="7"/>
        <v>7.1864471023639059E-4</v>
      </c>
      <c r="Z39" s="22">
        <f t="shared" si="7"/>
        <v>9.342875327608708E-3</v>
      </c>
      <c r="AA39" s="22">
        <f t="shared" si="7"/>
        <v>3.6604020481871796E-4</v>
      </c>
      <c r="AB39" s="22">
        <f t="shared" si="7"/>
        <v>1.783101074881385E-4</v>
      </c>
    </row>
    <row r="40" spans="1:33" ht="15" x14ac:dyDescent="0.25">
      <c r="A40" s="17"/>
      <c r="C40" s="10"/>
      <c r="D40" s="3"/>
      <c r="E40" s="3"/>
      <c r="F40" s="3"/>
      <c r="G40" s="3"/>
      <c r="H40" s="3"/>
      <c r="I40" s="3"/>
      <c r="J40" s="3"/>
      <c r="K40" s="3"/>
      <c r="N40" s="9"/>
      <c r="O40" s="1" t="s">
        <v>163</v>
      </c>
      <c r="P40" s="22">
        <f t="shared" si="6"/>
        <v>3.1123835115708917E-2</v>
      </c>
      <c r="Q40" s="22">
        <f t="shared" si="6"/>
        <v>1.9100353288201918E-2</v>
      </c>
      <c r="R40" s="22">
        <f t="shared" si="6"/>
        <v>1.1897261062462708E-2</v>
      </c>
      <c r="S40" s="22">
        <f t="shared" si="6"/>
        <v>9.3605871499636301E-3</v>
      </c>
      <c r="T40" s="22">
        <f t="shared" si="6"/>
        <v>1.3797139606502301E-2</v>
      </c>
      <c r="U40" s="22">
        <f t="shared" si="6"/>
        <v>4.341767318975958E-2</v>
      </c>
      <c r="V40" s="22">
        <f t="shared" si="6"/>
        <v>3.8106645739539875E-2</v>
      </c>
      <c r="W40" s="22">
        <f t="shared" si="6"/>
        <v>3.1144960956780314E-2</v>
      </c>
      <c r="X40" s="22">
        <f>X5/X$16</f>
        <v>5.8330876729188942E-2</v>
      </c>
      <c r="Y40" s="22">
        <f t="shared" si="7"/>
        <v>6.775271676834714E-2</v>
      </c>
      <c r="Z40" s="22">
        <f t="shared" si="7"/>
        <v>3.5824266724384372E-2</v>
      </c>
      <c r="AA40" s="22">
        <f t="shared" si="7"/>
        <v>3.8348910706209625E-2</v>
      </c>
      <c r="AB40" s="22">
        <f t="shared" si="7"/>
        <v>3.8672988861340449E-2</v>
      </c>
    </row>
    <row r="41" spans="1:33" ht="15" x14ac:dyDescent="0.25">
      <c r="A41" s="30">
        <v>2022</v>
      </c>
      <c r="B41" s="1" t="s">
        <v>166</v>
      </c>
      <c r="C41" s="31">
        <v>1720317</v>
      </c>
      <c r="D41" s="31"/>
      <c r="E41" s="31">
        <v>185</v>
      </c>
      <c r="F41" s="31">
        <v>-3077</v>
      </c>
      <c r="G41" s="31" t="s">
        <v>67</v>
      </c>
      <c r="H41" s="31" t="s">
        <v>67</v>
      </c>
      <c r="I41" s="31" t="s">
        <v>67</v>
      </c>
      <c r="J41" s="31" t="s">
        <v>67</v>
      </c>
      <c r="K41" s="31">
        <f t="shared" ref="K41:K48" si="9">SUM(C41:J41)</f>
        <v>1717425</v>
      </c>
      <c r="N41" s="9"/>
      <c r="O41" s="1" t="s">
        <v>162</v>
      </c>
      <c r="P41" s="22">
        <f t="shared" si="6"/>
        <v>2.8937346482327906E-3</v>
      </c>
      <c r="Q41" s="22">
        <f t="shared" si="6"/>
        <v>1.2869864296665267E-3</v>
      </c>
      <c r="R41" s="22">
        <f t="shared" si="6"/>
        <v>1.057502036381411E-3</v>
      </c>
      <c r="S41" s="22">
        <f t="shared" si="6"/>
        <v>3.7111025989654489E-4</v>
      </c>
      <c r="T41" s="22">
        <f t="shared" si="6"/>
        <v>1.2806843023844554E-3</v>
      </c>
      <c r="U41" s="22">
        <f t="shared" si="6"/>
        <v>7.2942476464108261E-3</v>
      </c>
      <c r="V41" s="22">
        <f t="shared" si="6"/>
        <v>4.1497486769398748E-3</v>
      </c>
      <c r="W41" s="22">
        <f t="shared" si="6"/>
        <v>9.1559919124387069E-4</v>
      </c>
      <c r="X41" s="22">
        <f>X6/X$16</f>
        <v>1.1788303666159044E-3</v>
      </c>
      <c r="Y41" s="22">
        <f t="shared" si="7"/>
        <v>1.4116865991007229E-3</v>
      </c>
      <c r="Z41" s="22">
        <f t="shared" si="7"/>
        <v>1.987349964319313E-3</v>
      </c>
      <c r="AA41" s="22">
        <f t="shared" si="7"/>
        <v>2.1868456661658733E-2</v>
      </c>
      <c r="AB41" s="22">
        <f t="shared" si="7"/>
        <v>7.1065622549620422E-4</v>
      </c>
    </row>
    <row r="42" spans="1:33" ht="15" x14ac:dyDescent="0.25">
      <c r="A42" s="30">
        <v>2022</v>
      </c>
      <c r="B42" s="1" t="s">
        <v>165</v>
      </c>
      <c r="C42" s="31">
        <v>397786</v>
      </c>
      <c r="D42" s="31"/>
      <c r="E42" s="31">
        <v>187328</v>
      </c>
      <c r="F42" s="31" t="s">
        <v>67</v>
      </c>
      <c r="G42" s="31">
        <v>59</v>
      </c>
      <c r="H42" s="31" t="s">
        <v>67</v>
      </c>
      <c r="I42" s="31" t="s">
        <v>67</v>
      </c>
      <c r="J42" s="31">
        <v>-71664</v>
      </c>
      <c r="K42" s="31">
        <f t="shared" si="9"/>
        <v>513509</v>
      </c>
      <c r="N42" s="9"/>
      <c r="O42" s="1" t="s">
        <v>161</v>
      </c>
      <c r="P42" s="22">
        <f t="shared" si="6"/>
        <v>3.8195139003711979E-4</v>
      </c>
      <c r="Q42" s="22">
        <f t="shared" si="6"/>
        <v>3.9548020494960978E-4</v>
      </c>
      <c r="R42" s="22">
        <f t="shared" si="6"/>
        <v>3.2756416099451673E-4</v>
      </c>
      <c r="S42" s="22">
        <f t="shared" si="6"/>
        <v>5.3677156499656203E-4</v>
      </c>
      <c r="T42" s="22">
        <f t="shared" si="6"/>
        <v>3.6745215303879582E-4</v>
      </c>
      <c r="U42" s="22">
        <f t="shared" si="6"/>
        <v>9.8225928699531757E-4</v>
      </c>
      <c r="V42" s="22">
        <f t="shared" si="6"/>
        <v>7.7183745081736113E-4</v>
      </c>
      <c r="W42" s="22">
        <f t="shared" si="6"/>
        <v>1.0534948205776402E-3</v>
      </c>
      <c r="X42" s="22">
        <f>X7/X$16</f>
        <v>1.0243020414040817E-3</v>
      </c>
      <c r="Y42" s="22">
        <f t="shared" si="7"/>
        <v>1.3860837777286649E-3</v>
      </c>
      <c r="Z42" s="22">
        <f t="shared" si="7"/>
        <v>1.8440378965324372E-3</v>
      </c>
      <c r="AA42" s="22">
        <f t="shared" si="7"/>
        <v>1.7767395895799797E-3</v>
      </c>
      <c r="AB42" s="22">
        <f t="shared" si="7"/>
        <v>1.1377883049243124E-3</v>
      </c>
    </row>
    <row r="43" spans="1:33" ht="15" x14ac:dyDescent="0.25">
      <c r="A43" s="30">
        <v>2022</v>
      </c>
      <c r="B43" s="1" t="s">
        <v>164</v>
      </c>
      <c r="C43" s="31">
        <v>382767</v>
      </c>
      <c r="D43" s="31"/>
      <c r="E43" s="31">
        <v>2442</v>
      </c>
      <c r="F43" s="31">
        <v>-1057</v>
      </c>
      <c r="G43" s="31">
        <v>85024</v>
      </c>
      <c r="H43" s="31" t="s">
        <v>67</v>
      </c>
      <c r="I43" s="31">
        <v>-242</v>
      </c>
      <c r="J43" s="31">
        <v>-22175</v>
      </c>
      <c r="K43" s="31">
        <f t="shared" si="9"/>
        <v>446759</v>
      </c>
      <c r="O43" s="1" t="s">
        <v>160</v>
      </c>
      <c r="P43" s="22">
        <f t="shared" si="6"/>
        <v>6.4442252688402053E-4</v>
      </c>
      <c r="Q43" s="22">
        <f t="shared" si="6"/>
        <v>8.8033446751495056E-4</v>
      </c>
      <c r="R43" s="22">
        <f t="shared" si="6"/>
        <v>5.5816642510928189E-4</v>
      </c>
      <c r="S43" s="22">
        <f t="shared" si="6"/>
        <v>4.3368538169196618E-4</v>
      </c>
      <c r="T43" s="22">
        <f t="shared" si="6"/>
        <v>7.0996074553696413E-4</v>
      </c>
      <c r="U43" s="22">
        <f t="shared" si="6"/>
        <v>1.7492599067136913E-3</v>
      </c>
      <c r="V43" s="22">
        <f t="shared" si="6"/>
        <v>2.3636399552485125E-3</v>
      </c>
      <c r="W43" s="22">
        <f t="shared" si="6"/>
        <v>3.078511241272544E-3</v>
      </c>
      <c r="X43" s="22">
        <f>X8/X$16</f>
        <v>5.5219253618000548E-3</v>
      </c>
      <c r="Y43" s="22">
        <f t="shared" si="7"/>
        <v>3.8848602865809139E-3</v>
      </c>
      <c r="Z43" s="22">
        <f t="shared" si="7"/>
        <v>4.1662291407276288E-3</v>
      </c>
      <c r="AA43" s="22">
        <f t="shared" si="7"/>
        <v>2.7943268090666953E-3</v>
      </c>
      <c r="AB43" s="22">
        <f t="shared" si="7"/>
        <v>1.6023913489694932E-3</v>
      </c>
    </row>
    <row r="44" spans="1:33" ht="15" x14ac:dyDescent="0.25">
      <c r="A44" s="30">
        <v>2022</v>
      </c>
      <c r="B44" s="1" t="s">
        <v>163</v>
      </c>
      <c r="C44" s="31">
        <v>708357</v>
      </c>
      <c r="D44" s="31"/>
      <c r="E44" s="31">
        <v>230228</v>
      </c>
      <c r="F44" s="31">
        <v>-4850</v>
      </c>
      <c r="G44" s="31">
        <v>35040</v>
      </c>
      <c r="H44" s="31" t="s">
        <v>67</v>
      </c>
      <c r="I44" s="31">
        <v>-18985</v>
      </c>
      <c r="J44" s="31">
        <v>-105667</v>
      </c>
      <c r="K44" s="31">
        <f t="shared" si="9"/>
        <v>844123</v>
      </c>
      <c r="O44" s="1" t="s">
        <v>111</v>
      </c>
      <c r="P44" s="22">
        <f t="shared" si="6"/>
        <v>1.437617239998443E-4</v>
      </c>
      <c r="Q44" s="22">
        <f t="shared" si="6"/>
        <v>1.3331630261013212E-4</v>
      </c>
      <c r="R44" s="22">
        <f t="shared" si="6"/>
        <v>8.4614689037386257E-5</v>
      </c>
      <c r="S44" s="22">
        <f t="shared" si="6"/>
        <v>5.3894180043455347E-5</v>
      </c>
      <c r="T44" s="22">
        <f t="shared" si="6"/>
        <v>7.9298185002293323E-5</v>
      </c>
      <c r="U44" s="22">
        <f t="shared" si="6"/>
        <v>2.2394454332496091E-4</v>
      </c>
      <c r="V44" s="22">
        <f t="shared" si="6"/>
        <v>3.1965348125986571E-4</v>
      </c>
      <c r="W44" s="22">
        <f t="shared" si="6"/>
        <v>2.6502358987825239E-4</v>
      </c>
      <c r="X44" s="22">
        <v>0</v>
      </c>
      <c r="Y44" s="22">
        <f t="shared" si="7"/>
        <v>2.6779962584566559E-4</v>
      </c>
      <c r="Z44" s="22">
        <f t="shared" si="7"/>
        <v>2.989462946731842E-4</v>
      </c>
      <c r="AA44" s="22">
        <f t="shared" si="7"/>
        <v>5.999055438825104E-4</v>
      </c>
      <c r="AB44" s="22">
        <f t="shared" si="7"/>
        <v>8.9321181173406027E-4</v>
      </c>
    </row>
    <row r="45" spans="1:33" ht="15" x14ac:dyDescent="0.25">
      <c r="A45" s="30">
        <v>2022</v>
      </c>
      <c r="B45" s="1" t="s">
        <v>162</v>
      </c>
      <c r="C45" s="31">
        <v>59862</v>
      </c>
      <c r="D45" s="31"/>
      <c r="E45" s="31">
        <v>4797</v>
      </c>
      <c r="F45" s="31">
        <v>-157</v>
      </c>
      <c r="G45" s="31">
        <v>6906</v>
      </c>
      <c r="H45" s="31" t="s">
        <v>67</v>
      </c>
      <c r="I45" s="31">
        <v>-4983</v>
      </c>
      <c r="J45" s="31">
        <v>-6715</v>
      </c>
      <c r="K45" s="31">
        <f t="shared" si="9"/>
        <v>59710</v>
      </c>
      <c r="O45" s="1" t="s">
        <v>159</v>
      </c>
      <c r="P45" s="22">
        <f t="shared" ref="P45:Q48" si="10">P10/P$16</f>
        <v>6.427652201462207E-3</v>
      </c>
      <c r="Q45" s="22">
        <f t="shared" si="10"/>
        <v>1.2110184806931553E-3</v>
      </c>
      <c r="R45" s="22">
        <v>0</v>
      </c>
      <c r="S45" s="22">
        <f t="shared" ref="S45:X45" si="11">S10/S$16</f>
        <v>0</v>
      </c>
      <c r="T45" s="22">
        <f t="shared" si="11"/>
        <v>0</v>
      </c>
      <c r="U45" s="22">
        <f t="shared" si="11"/>
        <v>0</v>
      </c>
      <c r="V45" s="22">
        <f t="shared" si="11"/>
        <v>0</v>
      </c>
      <c r="W45" s="22">
        <f t="shared" si="11"/>
        <v>0</v>
      </c>
      <c r="X45" s="22">
        <f t="shared" si="11"/>
        <v>0</v>
      </c>
      <c r="Y45" s="22">
        <f t="shared" si="7"/>
        <v>0</v>
      </c>
      <c r="Z45" s="22">
        <f t="shared" si="7"/>
        <v>0</v>
      </c>
      <c r="AA45" s="22">
        <f t="shared" si="7"/>
        <v>0</v>
      </c>
      <c r="AB45" s="22">
        <f t="shared" si="7"/>
        <v>0</v>
      </c>
    </row>
    <row r="46" spans="1:33" ht="15" x14ac:dyDescent="0.25">
      <c r="A46" s="30">
        <v>2022</v>
      </c>
      <c r="B46" s="1" t="s">
        <v>161</v>
      </c>
      <c r="C46" s="31">
        <v>13625</v>
      </c>
      <c r="D46" s="31"/>
      <c r="E46" s="31">
        <v>4710</v>
      </c>
      <c r="F46" s="31">
        <v>-412</v>
      </c>
      <c r="G46" s="31">
        <v>635</v>
      </c>
      <c r="H46" s="31" t="s">
        <v>67</v>
      </c>
      <c r="I46" s="31">
        <v>-245</v>
      </c>
      <c r="J46" s="31">
        <v>-2203</v>
      </c>
      <c r="K46" s="31">
        <f t="shared" si="9"/>
        <v>16110</v>
      </c>
      <c r="O46" s="1" t="s">
        <v>158</v>
      </c>
      <c r="P46" s="22">
        <f t="shared" si="10"/>
        <v>1.4186545675566403E-2</v>
      </c>
      <c r="Q46" s="22">
        <f t="shared" si="10"/>
        <v>2.0659930593596422E-2</v>
      </c>
      <c r="R46" s="22">
        <f t="shared" ref="R46:W46" si="12">R11/R$16</f>
        <v>1.4300245600490112E-2</v>
      </c>
      <c r="S46" s="22">
        <f t="shared" si="12"/>
        <v>7.1346490023970251E-3</v>
      </c>
      <c r="T46" s="22">
        <f t="shared" si="12"/>
        <v>1.8108652660547179E-2</v>
      </c>
      <c r="U46" s="22">
        <f t="shared" si="12"/>
        <v>2.7372971895148635E-2</v>
      </c>
      <c r="V46" s="22">
        <f t="shared" si="12"/>
        <v>3.1074269151822834E-2</v>
      </c>
      <c r="W46" s="22">
        <f t="shared" si="12"/>
        <v>9.4373406775781366E-3</v>
      </c>
      <c r="X46" s="22">
        <v>0</v>
      </c>
      <c r="Y46" s="22">
        <f t="shared" si="7"/>
        <v>4.2051015534438296E-2</v>
      </c>
      <c r="Z46" s="22">
        <f t="shared" si="7"/>
        <v>6.5695591238623438E-2</v>
      </c>
      <c r="AA46" s="22">
        <f t="shared" si="7"/>
        <v>0.1054775903316247</v>
      </c>
      <c r="AB46" s="22">
        <f t="shared" si="7"/>
        <v>6.4420156204084228E-2</v>
      </c>
    </row>
    <row r="47" spans="1:33" ht="15" x14ac:dyDescent="0.25">
      <c r="A47" s="30">
        <v>2022</v>
      </c>
      <c r="B47" s="1" t="s">
        <v>160</v>
      </c>
      <c r="C47" s="31">
        <v>30225</v>
      </c>
      <c r="D47" s="31"/>
      <c r="E47" s="31">
        <v>13201</v>
      </c>
      <c r="F47" s="31">
        <v>-178</v>
      </c>
      <c r="G47" s="31">
        <v>1119</v>
      </c>
      <c r="H47" s="31" t="s">
        <v>67</v>
      </c>
      <c r="I47" s="31">
        <v>-42</v>
      </c>
      <c r="J47" s="31">
        <v>-8529</v>
      </c>
      <c r="K47" s="31">
        <f t="shared" si="9"/>
        <v>35796</v>
      </c>
      <c r="O47" s="1" t="s">
        <v>157</v>
      </c>
      <c r="P47" s="22">
        <f t="shared" si="10"/>
        <v>0</v>
      </c>
      <c r="Q47" s="22">
        <f t="shared" si="10"/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f>W12/W$16</f>
        <v>0</v>
      </c>
      <c r="X47" s="22">
        <f>X12/X$16</f>
        <v>0</v>
      </c>
      <c r="Y47" s="22">
        <f t="shared" si="7"/>
        <v>0</v>
      </c>
      <c r="Z47" s="22">
        <f t="shared" si="7"/>
        <v>0</v>
      </c>
      <c r="AA47" s="22">
        <f t="shared" si="7"/>
        <v>0</v>
      </c>
      <c r="AB47" s="22">
        <f t="shared" si="7"/>
        <v>0</v>
      </c>
    </row>
    <row r="48" spans="1:33" ht="15" x14ac:dyDescent="0.25">
      <c r="A48" s="30">
        <v>2022</v>
      </c>
      <c r="B48" s="1" t="s">
        <v>111</v>
      </c>
      <c r="C48" s="31">
        <v>8113</v>
      </c>
      <c r="D48" s="31"/>
      <c r="E48" s="31">
        <v>910</v>
      </c>
      <c r="F48" s="31">
        <v>-71</v>
      </c>
      <c r="G48" s="31">
        <v>794</v>
      </c>
      <c r="H48" s="31">
        <v>-272</v>
      </c>
      <c r="I48" s="31" t="s">
        <v>67</v>
      </c>
      <c r="J48" s="31">
        <v>-120</v>
      </c>
      <c r="K48" s="31">
        <f t="shared" si="9"/>
        <v>9354</v>
      </c>
      <c r="O48" s="21" t="s">
        <v>150</v>
      </c>
      <c r="P48" s="37">
        <f t="shared" si="10"/>
        <v>0.10126645214179916</v>
      </c>
      <c r="Q48" s="37">
        <f t="shared" si="10"/>
        <v>7.2789956441318665E-2</v>
      </c>
      <c r="R48" s="37">
        <f>R13/R$16</f>
        <v>7.2273654798942058E-2</v>
      </c>
      <c r="S48" s="37">
        <f>S13/S$16</f>
        <v>2.7492180822569871E-2</v>
      </c>
      <c r="T48" s="37">
        <f>T13/T$16</f>
        <v>4.8566973832343534E-2</v>
      </c>
      <c r="U48" s="37">
        <f>U13/U$16</f>
        <v>0.10111643718959795</v>
      </c>
      <c r="V48" s="37">
        <f>V13/V$16</f>
        <v>9.5248117546282415E-2</v>
      </c>
      <c r="W48" s="37">
        <f>W13/W$16</f>
        <v>7.2863077976331278E-2</v>
      </c>
      <c r="X48" s="37">
        <f>X13/X$16</f>
        <v>0.14430024819626389</v>
      </c>
      <c r="Y48" s="37">
        <f t="shared" si="7"/>
        <v>0.17265512734755065</v>
      </c>
      <c r="Z48" s="37">
        <f t="shared" si="7"/>
        <v>0.27012476453961198</v>
      </c>
      <c r="AA48" s="37">
        <f t="shared" si="7"/>
        <v>0.2484259588706397</v>
      </c>
      <c r="AB48" s="37">
        <f t="shared" si="7"/>
        <v>0.31937518366310241</v>
      </c>
    </row>
    <row r="49" spans="1:28" ht="15" x14ac:dyDescent="0.25">
      <c r="A49" s="30">
        <v>2022</v>
      </c>
      <c r="B49" s="1" t="s">
        <v>159</v>
      </c>
      <c r="C49" s="31"/>
      <c r="D49" s="31"/>
      <c r="E49" s="31"/>
      <c r="F49" s="31"/>
      <c r="G49" s="31"/>
      <c r="H49" s="31"/>
      <c r="I49" s="31"/>
      <c r="J49" s="31"/>
      <c r="K49" s="31"/>
      <c r="O49" s="1" t="s">
        <v>291</v>
      </c>
      <c r="P49" s="26">
        <f t="shared" ref="P49:AB49" si="13">P48-P37-P46</f>
        <v>6.6472260732121036E-2</v>
      </c>
      <c r="Q49" s="26">
        <f t="shared" si="13"/>
        <v>5.1638096138928995E-2</v>
      </c>
      <c r="R49" s="26">
        <f t="shared" si="13"/>
        <v>2.689512390604646E-2</v>
      </c>
      <c r="S49" s="26">
        <f t="shared" si="13"/>
        <v>2.0356808408360183E-2</v>
      </c>
      <c r="T49" s="26">
        <f t="shared" si="13"/>
        <v>2.8820236598979029E-2</v>
      </c>
      <c r="U49" s="26">
        <f t="shared" si="13"/>
        <v>7.298628349113305E-2</v>
      </c>
      <c r="V49" s="26">
        <f t="shared" si="13"/>
        <v>6.3071223464720494E-2</v>
      </c>
      <c r="W49" s="26">
        <f t="shared" si="13"/>
        <v>6.3390308194994846E-2</v>
      </c>
      <c r="X49" s="26">
        <f t="shared" si="13"/>
        <v>0.14430024819626389</v>
      </c>
      <c r="Y49" s="26">
        <f t="shared" si="13"/>
        <v>0.13054966903203383</v>
      </c>
      <c r="Z49" s="26">
        <f t="shared" si="13"/>
        <v>0.10646666909538206</v>
      </c>
      <c r="AA49" s="26">
        <f t="shared" si="13"/>
        <v>0.13136657436417293</v>
      </c>
      <c r="AB49" s="26">
        <f t="shared" si="13"/>
        <v>9.9524174125172921E-2</v>
      </c>
    </row>
    <row r="50" spans="1:28" ht="15" x14ac:dyDescent="0.25">
      <c r="A50" s="30">
        <v>2022</v>
      </c>
      <c r="B50" s="1" t="s">
        <v>158</v>
      </c>
      <c r="C50" s="31">
        <v>77011</v>
      </c>
      <c r="D50" s="31"/>
      <c r="E50" s="31">
        <v>142892</v>
      </c>
      <c r="F50" s="31" t="s">
        <v>67</v>
      </c>
      <c r="G50" s="31">
        <v>-129577</v>
      </c>
      <c r="H50" s="31" t="s">
        <v>67</v>
      </c>
      <c r="I50" s="31" t="s">
        <v>67</v>
      </c>
      <c r="J50" s="31" t="s">
        <v>67</v>
      </c>
      <c r="K50" s="31">
        <f>SUM(C50:J50)</f>
        <v>90326</v>
      </c>
    </row>
    <row r="51" spans="1:28" ht="15" x14ac:dyDescent="0.25">
      <c r="A51" s="30">
        <v>2022</v>
      </c>
      <c r="B51" s="1" t="s">
        <v>157</v>
      </c>
      <c r="C51" s="31"/>
      <c r="D51" s="31"/>
      <c r="E51" s="31"/>
      <c r="F51" s="31"/>
      <c r="G51" s="31"/>
      <c r="H51" s="31"/>
      <c r="I51" s="31"/>
      <c r="J51" s="31"/>
      <c r="K51" s="31"/>
    </row>
    <row r="52" spans="1:28" x14ac:dyDescent="0.2">
      <c r="A52" s="30">
        <v>2022</v>
      </c>
      <c r="B52" s="21" t="s">
        <v>150</v>
      </c>
      <c r="C52" s="29">
        <f t="shared" ref="C52:K52" si="14">SUM(C41:C50)</f>
        <v>3398063</v>
      </c>
      <c r="D52" s="29">
        <f t="shared" si="14"/>
        <v>0</v>
      </c>
      <c r="E52" s="29">
        <f t="shared" si="14"/>
        <v>586693</v>
      </c>
      <c r="F52" s="29">
        <f t="shared" si="14"/>
        <v>-9802</v>
      </c>
      <c r="G52" s="29">
        <f t="shared" si="14"/>
        <v>0</v>
      </c>
      <c r="H52" s="29">
        <f t="shared" si="14"/>
        <v>-272</v>
      </c>
      <c r="I52" s="29">
        <f t="shared" si="14"/>
        <v>-24497</v>
      </c>
      <c r="J52" s="29">
        <f t="shared" si="14"/>
        <v>-217073</v>
      </c>
      <c r="K52" s="29">
        <f t="shared" si="14"/>
        <v>3733112</v>
      </c>
      <c r="L52" s="9"/>
    </row>
    <row r="53" spans="1:28" ht="15" x14ac:dyDescent="0.25">
      <c r="A53" s="17"/>
      <c r="C53" s="10"/>
      <c r="D53" s="3"/>
      <c r="E53" s="3"/>
      <c r="F53" s="3"/>
      <c r="G53" s="3"/>
      <c r="H53" s="3"/>
      <c r="I53" s="3"/>
      <c r="J53" s="3"/>
      <c r="K53" s="3"/>
      <c r="O53" s="11" t="s">
        <v>292</v>
      </c>
    </row>
    <row r="54" spans="1:28" ht="15" x14ac:dyDescent="0.25">
      <c r="A54" s="30">
        <v>2021</v>
      </c>
      <c r="B54" s="1" t="s">
        <v>166</v>
      </c>
      <c r="C54" s="31">
        <v>1720026</v>
      </c>
      <c r="D54" s="31" t="s">
        <v>67</v>
      </c>
      <c r="E54" s="31">
        <v>321</v>
      </c>
      <c r="F54" s="31">
        <v>-10</v>
      </c>
      <c r="G54" s="31">
        <v>-20</v>
      </c>
      <c r="H54" s="31">
        <v>0</v>
      </c>
      <c r="I54" s="31"/>
      <c r="J54" s="31" t="s">
        <v>67</v>
      </c>
      <c r="K54" s="31">
        <f>SUM(C54:J54)</f>
        <v>1720317</v>
      </c>
      <c r="O54" s="1" t="s">
        <v>166</v>
      </c>
      <c r="P54" s="13">
        <f t="shared" ref="P54:AB54" si="15">(IF(P22="-",0,P22))/(P$16+(IF(P13="-",0,P13)/2))</f>
        <v>0</v>
      </c>
      <c r="Q54" s="13">
        <f t="shared" si="15"/>
        <v>0</v>
      </c>
      <c r="R54" s="13">
        <f t="shared" si="15"/>
        <v>0</v>
      </c>
      <c r="S54" s="13">
        <f t="shared" si="15"/>
        <v>0</v>
      </c>
      <c r="T54" s="13">
        <f t="shared" si="15"/>
        <v>0</v>
      </c>
      <c r="U54" s="13">
        <f t="shared" si="15"/>
        <v>0</v>
      </c>
      <c r="V54" s="13">
        <f t="shared" si="15"/>
        <v>0</v>
      </c>
      <c r="W54" s="13">
        <f t="shared" si="15"/>
        <v>0</v>
      </c>
      <c r="X54" s="13">
        <f t="shared" si="15"/>
        <v>0</v>
      </c>
      <c r="Y54" s="13">
        <f t="shared" si="15"/>
        <v>0</v>
      </c>
      <c r="Z54" s="13">
        <f t="shared" si="15"/>
        <v>0</v>
      </c>
      <c r="AA54" s="13">
        <f t="shared" si="15"/>
        <v>0</v>
      </c>
      <c r="AB54" s="13">
        <f t="shared" si="15"/>
        <v>0</v>
      </c>
    </row>
    <row r="55" spans="1:28" ht="15" x14ac:dyDescent="0.25">
      <c r="A55" s="30">
        <v>2021</v>
      </c>
      <c r="B55" s="1" t="s">
        <v>165</v>
      </c>
      <c r="C55" s="31">
        <v>265921</v>
      </c>
      <c r="D55" s="31">
        <v>26473</v>
      </c>
      <c r="E55" s="31">
        <v>153372</v>
      </c>
      <c r="F55" s="31" t="s">
        <v>67</v>
      </c>
      <c r="G55" s="31">
        <f>785-67</f>
        <v>718</v>
      </c>
      <c r="H55" s="31">
        <v>0</v>
      </c>
      <c r="I55" s="31"/>
      <c r="J55" s="31">
        <v>-48698</v>
      </c>
      <c r="K55" s="31">
        <f>SUM(C55:J55)</f>
        <v>397786</v>
      </c>
      <c r="O55" s="1" t="s">
        <v>165</v>
      </c>
      <c r="P55" s="13">
        <f t="shared" ref="P55:AB55" si="16">(IF(P23="-",0,P23))/(P$16+(IF(P14="-",0,P14)/2))</f>
        <v>-1.8408438235068533E-2</v>
      </c>
      <c r="Q55" s="13">
        <f t="shared" si="16"/>
        <v>-1.2838583988600393E-2</v>
      </c>
      <c r="R55" s="13">
        <f t="shared" si="16"/>
        <v>-1.2771007551768597E-2</v>
      </c>
      <c r="S55" s="13">
        <f t="shared" si="16"/>
        <v>-1.1107989625137765E-2</v>
      </c>
      <c r="T55" s="13">
        <f t="shared" si="16"/>
        <v>-1.0773755257191847E-2</v>
      </c>
      <c r="U55" s="13">
        <f t="shared" si="16"/>
        <v>-1.0861119369410668E-2</v>
      </c>
      <c r="V55" s="13">
        <f t="shared" si="16"/>
        <v>-1.0150973434098008E-2</v>
      </c>
      <c r="W55" s="13">
        <f t="shared" si="16"/>
        <v>-1.1865276748149257E-2</v>
      </c>
      <c r="X55" s="13">
        <f t="shared" si="16"/>
        <v>-1.6538943012677127E-2</v>
      </c>
      <c r="Y55" s="13">
        <f t="shared" si="16"/>
        <v>-2.1089660781510425E-2</v>
      </c>
      <c r="Z55" s="13">
        <f t="shared" si="16"/>
        <v>-2.6405045042867774E-2</v>
      </c>
      <c r="AA55" s="13">
        <f t="shared" si="16"/>
        <v>-2.7627504123315352E-2</v>
      </c>
      <c r="AB55" s="13">
        <f t="shared" si="16"/>
        <v>-2.8667132246066859E-2</v>
      </c>
    </row>
    <row r="56" spans="1:28" ht="15" x14ac:dyDescent="0.25">
      <c r="A56" s="30">
        <v>2021</v>
      </c>
      <c r="B56" s="1" t="s">
        <v>164</v>
      </c>
      <c r="C56" s="31">
        <v>391212</v>
      </c>
      <c r="D56" s="31">
        <v>3626</v>
      </c>
      <c r="E56" s="31">
        <v>1060</v>
      </c>
      <c r="F56" s="31">
        <v>-231</v>
      </c>
      <c r="G56" s="31">
        <f>8381-26</f>
        <v>8355</v>
      </c>
      <c r="H56" s="31">
        <v>26</v>
      </c>
      <c r="I56" s="31"/>
      <c r="J56" s="31">
        <f>-20836-445</f>
        <v>-21281</v>
      </c>
      <c r="K56" s="31">
        <f>SUM(C56:J56)</f>
        <v>382767</v>
      </c>
      <c r="O56" s="1" t="s">
        <v>164</v>
      </c>
      <c r="P56" s="13">
        <f t="shared" ref="P56:AB56" si="17">(IF(P24="-",0,P24))/(P$16+(IF(P15="-",0,P15)/2))</f>
        <v>-1.978747160898661E-3</v>
      </c>
      <c r="Q56" s="13">
        <f t="shared" si="17"/>
        <v>-2.5106662351885773E-3</v>
      </c>
      <c r="R56" s="13">
        <f t="shared" si="17"/>
        <v>-2.7635956376588387E-3</v>
      </c>
      <c r="S56" s="13">
        <f t="shared" si="17"/>
        <v>-3.0144570233701803E-3</v>
      </c>
      <c r="T56" s="13">
        <f t="shared" si="17"/>
        <v>-3.6592575605048873E-3</v>
      </c>
      <c r="U56" s="13">
        <f t="shared" si="17"/>
        <v>-5.9373627489966866E-3</v>
      </c>
      <c r="V56" s="13">
        <f t="shared" si="17"/>
        <v>-6.2792155200744179E-3</v>
      </c>
      <c r="W56" s="13">
        <f t="shared" si="17"/>
        <v>-7.0114891025981688E-3</v>
      </c>
      <c r="X56" s="13">
        <f t="shared" si="17"/>
        <v>-7.2275105249072491E-3</v>
      </c>
      <c r="Y56" s="13">
        <f t="shared" si="17"/>
        <v>-6.5257765968435551E-3</v>
      </c>
      <c r="Z56" s="13">
        <f t="shared" si="17"/>
        <v>-7.8430542667886731E-3</v>
      </c>
      <c r="AA56" s="13">
        <f t="shared" si="17"/>
        <v>-7.0280174316125878E-3</v>
      </c>
      <c r="AB56" s="13">
        <f t="shared" si="17"/>
        <v>-7.2898561853302832E-3</v>
      </c>
    </row>
    <row r="57" spans="1:28" ht="15" x14ac:dyDescent="0.25">
      <c r="A57" s="30">
        <v>2021</v>
      </c>
      <c r="B57" s="1" t="s">
        <v>163</v>
      </c>
      <c r="C57" s="31">
        <v>484291</v>
      </c>
      <c r="D57" s="31">
        <f>69735+81921</f>
        <v>151656</v>
      </c>
      <c r="E57" s="31">
        <v>171752</v>
      </c>
      <c r="F57" s="31">
        <f>-45049+32974</f>
        <v>-12075</v>
      </c>
      <c r="G57" s="31">
        <f>2796+294</f>
        <v>3090</v>
      </c>
      <c r="H57" s="31">
        <v>8</v>
      </c>
      <c r="I57" s="31"/>
      <c r="J57" s="31">
        <f>-82858-7607</f>
        <v>-90465</v>
      </c>
      <c r="K57" s="31">
        <f>SUM(C57:J57)+100</f>
        <v>708357</v>
      </c>
      <c r="O57" s="1" t="s">
        <v>163</v>
      </c>
      <c r="P57" s="13">
        <f t="shared" ref="P57:AB57" si="18">(IF(P25="-",0,P25))/(P$16+(IF(P16="-",0,P16)/2))</f>
        <v>-1.2025366300119236E-2</v>
      </c>
      <c r="Q57" s="13">
        <f t="shared" si="18"/>
        <v>-1.3911816851701999E-2</v>
      </c>
      <c r="R57" s="13">
        <f t="shared" si="18"/>
        <v>-1.3127260855465402E-2</v>
      </c>
      <c r="S57" s="13">
        <f t="shared" si="18"/>
        <v>-1.2252184733816403E-2</v>
      </c>
      <c r="T57" s="13">
        <f t="shared" si="18"/>
        <v>-1.2029001046388569E-2</v>
      </c>
      <c r="U57" s="13">
        <f t="shared" si="18"/>
        <v>-1.6152204745987848E-2</v>
      </c>
      <c r="V57" s="13">
        <f t="shared" si="18"/>
        <v>-1.4676285004001654E-2</v>
      </c>
      <c r="W57" s="13">
        <f t="shared" si="18"/>
        <v>-1.5822452488240372E-2</v>
      </c>
      <c r="X57" s="13">
        <f t="shared" si="18"/>
        <v>-2.0482644601153902E-2</v>
      </c>
      <c r="Y57" s="13">
        <f t="shared" si="18"/>
        <v>-2.0730830083687875E-2</v>
      </c>
      <c r="Z57" s="13">
        <f t="shared" si="18"/>
        <v>-2.20716656773223E-2</v>
      </c>
      <c r="AA57" s="13">
        <f t="shared" si="18"/>
        <v>-1.9912981467612684E-2</v>
      </c>
      <c r="AB57" s="13">
        <f t="shared" si="18"/>
        <v>-1.5370109762238423E-2</v>
      </c>
    </row>
    <row r="58" spans="1:28" ht="15" x14ac:dyDescent="0.25">
      <c r="A58" s="30">
        <v>2021</v>
      </c>
      <c r="B58" s="1" t="s">
        <v>162</v>
      </c>
      <c r="C58" s="31">
        <v>34458</v>
      </c>
      <c r="D58" s="31">
        <v>31314</v>
      </c>
      <c r="E58" s="31">
        <v>3471</v>
      </c>
      <c r="F58" s="31">
        <v>-855</v>
      </c>
      <c r="G58" s="31">
        <f>10-124</f>
        <v>-114</v>
      </c>
      <c r="H58" s="31">
        <v>3</v>
      </c>
      <c r="I58" s="31"/>
      <c r="J58" s="31">
        <f>-5501-2908</f>
        <v>-8409</v>
      </c>
      <c r="K58" s="31">
        <f>SUM(C58:J58)-6</f>
        <v>59862</v>
      </c>
      <c r="O58" s="1" t="s">
        <v>162</v>
      </c>
      <c r="P58" s="13">
        <f t="shared" ref="P58:AB58" si="19">(IF(P26="-",0,P26))/(P$16+(IF(P17="-",0,P17)/2))</f>
        <v>-4.7672958930012563E-4</v>
      </c>
      <c r="Q58" s="13">
        <f t="shared" si="19"/>
        <v>-5.7473692482734183E-4</v>
      </c>
      <c r="R58" s="13">
        <f t="shared" si="19"/>
        <v>-5.4738911229999538E-4</v>
      </c>
      <c r="S58" s="13">
        <f t="shared" si="19"/>
        <v>-7.5930403054354624E-4</v>
      </c>
      <c r="T58" s="13">
        <f t="shared" si="19"/>
        <v>-5.6358364385503676E-4</v>
      </c>
      <c r="U58" s="13">
        <f t="shared" si="19"/>
        <v>-1.0494765055254073E-3</v>
      </c>
      <c r="V58" s="13">
        <f t="shared" si="19"/>
        <v>-1.3779187106090153E-3</v>
      </c>
      <c r="W58" s="13">
        <f t="shared" si="19"/>
        <v>-1.2890664231176103E-3</v>
      </c>
      <c r="X58" s="13">
        <f t="shared" si="19"/>
        <v>-1.8109280430143326E-3</v>
      </c>
      <c r="Y58" s="13">
        <f t="shared" si="19"/>
        <v>-1.2754959095805413E-3</v>
      </c>
      <c r="Z58" s="13">
        <f t="shared" si="19"/>
        <v>-1.5309499746921154E-3</v>
      </c>
      <c r="AA58" s="13">
        <f t="shared" si="19"/>
        <v>-1.3970105522505875E-3</v>
      </c>
      <c r="AB58" s="13">
        <f t="shared" si="19"/>
        <v>-1.1685556886825447E-3</v>
      </c>
    </row>
    <row r="59" spans="1:28" ht="15" x14ac:dyDescent="0.25">
      <c r="A59" s="30">
        <v>2021</v>
      </c>
      <c r="B59" s="1" t="s">
        <v>161</v>
      </c>
      <c r="C59" s="31">
        <v>10025</v>
      </c>
      <c r="D59" s="31">
        <v>2641</v>
      </c>
      <c r="E59" s="31">
        <v>3016</v>
      </c>
      <c r="F59" s="31">
        <v>-81</v>
      </c>
      <c r="G59" s="31">
        <f>-105+16</f>
        <v>-89</v>
      </c>
      <c r="H59" s="31">
        <v>0</v>
      </c>
      <c r="I59" s="31"/>
      <c r="J59" s="31">
        <f>-1765-122</f>
        <v>-1887</v>
      </c>
      <c r="K59" s="31">
        <f>SUM(C59:J59)</f>
        <v>13625</v>
      </c>
      <c r="O59" s="1" t="s">
        <v>161</v>
      </c>
      <c r="P59" s="13">
        <f t="shared" ref="P59:AB59" si="20">(IF(P27="-",0,P27))/(P$16+(IF(P18="-",0,P18)/2))</f>
        <v>-3.4687815208455329E-4</v>
      </c>
      <c r="Q59" s="13">
        <f t="shared" si="20"/>
        <v>-2.9195525361348031E-4</v>
      </c>
      <c r="R59" s="13">
        <f t="shared" si="20"/>
        <v>-2.9052253714362952E-4</v>
      </c>
      <c r="S59" s="13">
        <f t="shared" si="20"/>
        <v>-3.0310955106489025E-4</v>
      </c>
      <c r="T59" s="13">
        <f t="shared" si="20"/>
        <v>-3.6596298621126787E-4</v>
      </c>
      <c r="U59" s="13">
        <f t="shared" si="20"/>
        <v>-4.2296439474938071E-4</v>
      </c>
      <c r="V59" s="13">
        <f t="shared" si="20"/>
        <v>-4.3674003464845448E-4</v>
      </c>
      <c r="W59" s="13">
        <f t="shared" si="20"/>
        <v>-4.9010260005474349E-4</v>
      </c>
      <c r="X59" s="13">
        <f t="shared" si="20"/>
        <v>-6.40868004497338E-4</v>
      </c>
      <c r="Y59" s="13">
        <f t="shared" si="20"/>
        <v>-6.4831051338315178E-4</v>
      </c>
      <c r="Z59" s="13">
        <f t="shared" si="20"/>
        <v>-6.9164813126973358E-4</v>
      </c>
      <c r="AA59" s="13">
        <f t="shared" si="20"/>
        <v>-7.131982670996684E-4</v>
      </c>
      <c r="AB59" s="13">
        <f t="shared" si="20"/>
        <v>-7.2302346881004194E-4</v>
      </c>
    </row>
    <row r="60" spans="1:28" ht="15" x14ac:dyDescent="0.25">
      <c r="A60" s="30">
        <v>2021</v>
      </c>
      <c r="B60" s="1" t="s">
        <v>160</v>
      </c>
      <c r="C60" s="31">
        <v>19967</v>
      </c>
      <c r="D60" s="31">
        <v>795</v>
      </c>
      <c r="E60" s="31">
        <v>16259</v>
      </c>
      <c r="F60" s="31">
        <v>-106</v>
      </c>
      <c r="G60" s="31">
        <f>-439-101</f>
        <v>-540</v>
      </c>
      <c r="H60" s="31">
        <v>6</v>
      </c>
      <c r="I60" s="31"/>
      <c r="J60" s="31">
        <f>-6143-13</f>
        <v>-6156</v>
      </c>
      <c r="K60" s="31">
        <f>SUM(C60:J60)</f>
        <v>30225</v>
      </c>
      <c r="O60" s="1" t="s">
        <v>160</v>
      </c>
      <c r="P60" s="13">
        <f t="shared" ref="P60:AB60" si="21">(IF(P28="-",0,P28))/(P$16+(IF(P19="-",0,P19)/2))</f>
        <v>-3.064090364071748E-4</v>
      </c>
      <c r="Q60" s="13">
        <f t="shared" si="21"/>
        <v>-4.7479968108357108E-4</v>
      </c>
      <c r="R60" s="13">
        <f t="shared" si="21"/>
        <v>-5.6143480365579033E-4</v>
      </c>
      <c r="S60" s="13">
        <f t="shared" si="21"/>
        <v>-5.5485686031315779E-4</v>
      </c>
      <c r="T60" s="13">
        <f t="shared" si="21"/>
        <v>-6.0534670804567579E-4</v>
      </c>
      <c r="U60" s="13">
        <f t="shared" si="21"/>
        <v>-7.8059590396744379E-4</v>
      </c>
      <c r="V60" s="13">
        <f t="shared" si="21"/>
        <v>-9.0329045547029468E-4</v>
      </c>
      <c r="W60" s="13">
        <f t="shared" si="21"/>
        <v>-1.2566911509561168E-3</v>
      </c>
      <c r="X60" s="13">
        <f t="shared" si="21"/>
        <v>-2.0907172967120449E-3</v>
      </c>
      <c r="Y60" s="13">
        <f t="shared" si="21"/>
        <v>-2.5099593503710789E-3</v>
      </c>
      <c r="Z60" s="13">
        <f t="shared" si="21"/>
        <v>-2.9916059309230475E-3</v>
      </c>
      <c r="AA60" s="13">
        <f t="shared" si="21"/>
        <v>-2.9506161942192493E-3</v>
      </c>
      <c r="AB60" s="13">
        <f t="shared" si="21"/>
        <v>-2.5199685170062803E-3</v>
      </c>
    </row>
    <row r="61" spans="1:28" ht="15" x14ac:dyDescent="0.25">
      <c r="A61" s="30">
        <v>2021</v>
      </c>
      <c r="B61" s="1" t="s">
        <v>111</v>
      </c>
      <c r="C61" s="31">
        <v>7711</v>
      </c>
      <c r="D61" s="31" t="s">
        <v>67</v>
      </c>
      <c r="E61" s="31">
        <v>594</v>
      </c>
      <c r="F61" s="31">
        <v>-116</v>
      </c>
      <c r="G61" s="31">
        <f>1+8</f>
        <v>9</v>
      </c>
      <c r="H61" s="31">
        <v>0</v>
      </c>
      <c r="I61" s="31"/>
      <c r="J61" s="31">
        <v>-85</v>
      </c>
      <c r="K61" s="31">
        <f>SUM(C61:J61)</f>
        <v>8113</v>
      </c>
      <c r="O61" s="1" t="s">
        <v>111</v>
      </c>
      <c r="P61" s="13">
        <f t="shared" ref="P61:AB61" si="22">(IF(P29="-",0,P29))/(P$16+(IF(P20="-",0,P20)/2))</f>
        <v>0</v>
      </c>
      <c r="Q61" s="13">
        <f t="shared" si="22"/>
        <v>0</v>
      </c>
      <c r="R61" s="13">
        <f t="shared" si="22"/>
        <v>0</v>
      </c>
      <c r="S61" s="13">
        <f t="shared" si="22"/>
        <v>-4.1234473321838319E-5</v>
      </c>
      <c r="T61" s="13">
        <f t="shared" si="22"/>
        <v>0</v>
      </c>
      <c r="U61" s="13">
        <f t="shared" si="22"/>
        <v>-1.8882339234819638E-6</v>
      </c>
      <c r="V61" s="13">
        <f t="shared" si="22"/>
        <v>-1.4366448595949021E-6</v>
      </c>
      <c r="W61" s="13">
        <f t="shared" si="22"/>
        <v>-1.2157045407259284E-5</v>
      </c>
      <c r="X61" s="13">
        <f t="shared" si="22"/>
        <v>-2.8867928885725116E-5</v>
      </c>
      <c r="Y61" s="13">
        <f t="shared" si="22"/>
        <v>-3.5314236375252604E-5</v>
      </c>
      <c r="Z61" s="13">
        <f t="shared" si="22"/>
        <v>-3.3216254963687134E-5</v>
      </c>
      <c r="AA61" s="13">
        <f t="shared" si="22"/>
        <v>-3.116687884410464E-5</v>
      </c>
      <c r="AB61" s="13">
        <f t="shared" si="22"/>
        <v>-5.3529949452960834E-5</v>
      </c>
    </row>
    <row r="62" spans="1:28" ht="15" x14ac:dyDescent="0.25">
      <c r="A62" s="30">
        <v>2021</v>
      </c>
      <c r="B62" s="1" t="s">
        <v>159</v>
      </c>
      <c r="C62" s="31"/>
      <c r="D62" s="31"/>
      <c r="E62" s="31"/>
      <c r="F62" s="31"/>
      <c r="G62" s="31"/>
      <c r="H62" s="31"/>
      <c r="I62" s="31"/>
      <c r="J62" s="31"/>
      <c r="K62" s="31"/>
      <c r="O62" s="1" t="s">
        <v>159</v>
      </c>
      <c r="P62" s="13">
        <f t="shared" ref="P62:AB62" si="23">(IF(P30="-",0,P30))/(P$16+(IF(P21="-",0,P21)/2))</f>
        <v>0</v>
      </c>
      <c r="Q62" s="13">
        <f t="shared" si="23"/>
        <v>0</v>
      </c>
      <c r="R62" s="13">
        <f t="shared" si="23"/>
        <v>0</v>
      </c>
      <c r="S62" s="13">
        <f t="shared" si="23"/>
        <v>0</v>
      </c>
      <c r="T62" s="13">
        <f t="shared" si="23"/>
        <v>0</v>
      </c>
      <c r="U62" s="13">
        <f t="shared" si="23"/>
        <v>0</v>
      </c>
      <c r="V62" s="13">
        <f t="shared" si="23"/>
        <v>0</v>
      </c>
      <c r="W62" s="13">
        <f t="shared" si="23"/>
        <v>0</v>
      </c>
      <c r="X62" s="13">
        <f t="shared" si="23"/>
        <v>0</v>
      </c>
      <c r="Y62" s="13">
        <f t="shared" si="23"/>
        <v>0</v>
      </c>
      <c r="Z62" s="13">
        <f t="shared" si="23"/>
        <v>0</v>
      </c>
      <c r="AA62" s="13">
        <f t="shared" si="23"/>
        <v>0</v>
      </c>
      <c r="AB62" s="13">
        <f t="shared" si="23"/>
        <v>0</v>
      </c>
    </row>
    <row r="63" spans="1:28" ht="15" x14ac:dyDescent="0.25">
      <c r="A63" s="30">
        <v>2021</v>
      </c>
      <c r="B63" s="1" t="s">
        <v>158</v>
      </c>
      <c r="C63" s="31">
        <v>10833</v>
      </c>
      <c r="D63" s="31">
        <v>2552</v>
      </c>
      <c r="E63" s="31">
        <v>75039</v>
      </c>
      <c r="F63" s="31" t="s">
        <v>67</v>
      </c>
      <c r="G63" s="31">
        <v>-11409</v>
      </c>
      <c r="H63" s="31">
        <v>-4</v>
      </c>
      <c r="I63" s="31"/>
      <c r="J63" s="31" t="s">
        <v>67</v>
      </c>
      <c r="K63" s="31">
        <f>SUM(C63:J63)</f>
        <v>77011</v>
      </c>
      <c r="O63" s="1" t="s">
        <v>158</v>
      </c>
      <c r="P63" s="13">
        <f t="shared" ref="P63:AB63" si="24">(IF(P31="-",0,P31))/(P$16+(IF(P22="-",0,P22)/2))</f>
        <v>0</v>
      </c>
      <c r="Q63" s="13">
        <f t="shared" si="24"/>
        <v>0</v>
      </c>
      <c r="R63" s="13">
        <f t="shared" si="24"/>
        <v>0</v>
      </c>
      <c r="S63" s="13">
        <f t="shared" si="24"/>
        <v>0</v>
      </c>
      <c r="T63" s="13">
        <f t="shared" si="24"/>
        <v>0</v>
      </c>
      <c r="U63" s="13">
        <f t="shared" si="24"/>
        <v>0</v>
      </c>
      <c r="V63" s="13">
        <f t="shared" si="24"/>
        <v>0</v>
      </c>
      <c r="W63" s="13">
        <f t="shared" si="24"/>
        <v>0</v>
      </c>
      <c r="X63" s="13">
        <f t="shared" si="24"/>
        <v>0</v>
      </c>
      <c r="Y63" s="13">
        <f t="shared" si="24"/>
        <v>0</v>
      </c>
      <c r="Z63" s="13">
        <f t="shared" si="24"/>
        <v>0</v>
      </c>
      <c r="AA63" s="13">
        <f t="shared" si="24"/>
        <v>0</v>
      </c>
      <c r="AB63" s="13">
        <f t="shared" si="24"/>
        <v>0</v>
      </c>
    </row>
    <row r="64" spans="1:28" ht="15" x14ac:dyDescent="0.25">
      <c r="A64" s="30">
        <v>2021</v>
      </c>
      <c r="B64" s="1" t="s">
        <v>157</v>
      </c>
      <c r="C64" s="31"/>
      <c r="D64" s="31"/>
      <c r="E64" s="31"/>
      <c r="F64" s="31"/>
      <c r="H64" s="31"/>
      <c r="I64" s="31"/>
      <c r="J64" s="31"/>
      <c r="K64" s="31"/>
      <c r="O64" s="1" t="s">
        <v>157</v>
      </c>
      <c r="P64" s="13">
        <f t="shared" ref="P64:AB64" si="25">(IF(P32="-",0,P32))/(P$16+(IF(P23="-",0,P23)/2))</f>
        <v>0</v>
      </c>
      <c r="Q64" s="13">
        <f t="shared" si="25"/>
        <v>0</v>
      </c>
      <c r="R64" s="13">
        <f t="shared" si="25"/>
        <v>0</v>
      </c>
      <c r="S64" s="13">
        <f t="shared" si="25"/>
        <v>-7.7073547587368815E-4</v>
      </c>
      <c r="T64" s="13">
        <f t="shared" si="25"/>
        <v>-5.2927193853707965E-4</v>
      </c>
      <c r="U64" s="13">
        <f t="shared" si="25"/>
        <v>-2.6807442444686869E-4</v>
      </c>
      <c r="V64" s="13">
        <f t="shared" si="25"/>
        <v>0</v>
      </c>
      <c r="W64" s="13">
        <f t="shared" si="25"/>
        <v>0</v>
      </c>
      <c r="X64" s="13">
        <f t="shared" si="25"/>
        <v>0</v>
      </c>
      <c r="Y64" s="13">
        <f t="shared" si="25"/>
        <v>0</v>
      </c>
      <c r="Z64" s="13">
        <f t="shared" si="25"/>
        <v>0</v>
      </c>
      <c r="AA64" s="13">
        <f t="shared" si="25"/>
        <v>0</v>
      </c>
      <c r="AB64" s="13">
        <f t="shared" si="25"/>
        <v>0</v>
      </c>
    </row>
    <row r="65" spans="1:28" x14ac:dyDescent="0.2">
      <c r="A65" s="30">
        <v>2021</v>
      </c>
      <c r="B65" s="21" t="s">
        <v>150</v>
      </c>
      <c r="C65" s="29">
        <f>SUM(C54:C63)</f>
        <v>2944444</v>
      </c>
      <c r="D65" s="29">
        <f>SUM(D54:D63)</f>
        <v>219057</v>
      </c>
      <c r="E65" s="29">
        <f>SUM(E54:E63)</f>
        <v>424884</v>
      </c>
      <c r="F65" s="29">
        <f>SUM(F54:F64)</f>
        <v>-13474</v>
      </c>
      <c r="G65" s="29">
        <f>SUM(G55:G64)</f>
        <v>20</v>
      </c>
      <c r="H65" s="29">
        <f>SUM(H54:H63)</f>
        <v>39</v>
      </c>
      <c r="I65" s="29">
        <f>SUM(I54:I63)</f>
        <v>0</v>
      </c>
      <c r="J65" s="29">
        <f>SUM(J54:J63)</f>
        <v>-176981</v>
      </c>
      <c r="K65" s="29">
        <f>SUM(K54:K64)</f>
        <v>3398063</v>
      </c>
      <c r="L65" s="9"/>
      <c r="O65" s="21" t="s">
        <v>150</v>
      </c>
      <c r="P65" s="36">
        <f t="shared" ref="P65:AB65" si="26">(IF(P33="-",0,P33))/(P$16+(IF(P24="-",0,P24)/2))</f>
        <v>-3.984137370158379E-2</v>
      </c>
      <c r="Q65" s="36">
        <f t="shared" si="26"/>
        <v>-3.7900097391024214E-2</v>
      </c>
      <c r="R65" s="36">
        <f t="shared" si="26"/>
        <v>-3.6950689018398798E-2</v>
      </c>
      <c r="S65" s="36">
        <f t="shared" si="26"/>
        <v>-3.5347816164404404E-2</v>
      </c>
      <c r="T65" s="36">
        <f t="shared" si="26"/>
        <v>-3.4879442567451013E-2</v>
      </c>
      <c r="U65" s="36">
        <f t="shared" si="26"/>
        <v>-4.4231389832870976E-2</v>
      </c>
      <c r="V65" s="36">
        <f t="shared" si="26"/>
        <v>-4.2008291408809906E-2</v>
      </c>
      <c r="W65" s="36">
        <f t="shared" si="26"/>
        <v>-4.6480597414475813E-2</v>
      </c>
      <c r="X65" s="36">
        <f t="shared" si="26"/>
        <v>-6.0324762718430187E-2</v>
      </c>
      <c r="Y65" s="36">
        <f t="shared" si="26"/>
        <v>-6.4090513793205767E-2</v>
      </c>
      <c r="Z65" s="36">
        <f t="shared" si="26"/>
        <v>-7.3793741919565087E-2</v>
      </c>
      <c r="AA65" s="36">
        <f t="shared" si="26"/>
        <v>-7.0726401065876326E-2</v>
      </c>
      <c r="AB65" s="36">
        <f t="shared" si="26"/>
        <v>-6.4479268010385379E-2</v>
      </c>
    </row>
    <row r="66" spans="1:28" ht="15" x14ac:dyDescent="0.25">
      <c r="A66" s="17"/>
      <c r="C66" s="32"/>
      <c r="D66" s="31"/>
      <c r="E66" s="31"/>
      <c r="F66" s="31"/>
      <c r="G66" s="31"/>
      <c r="H66" s="31"/>
      <c r="I66" s="31"/>
      <c r="J66" s="31"/>
      <c r="K66" s="31"/>
    </row>
    <row r="67" spans="1:28" ht="15" x14ac:dyDescent="0.25">
      <c r="A67" s="30">
        <v>2020</v>
      </c>
      <c r="B67" s="1" t="s">
        <v>166</v>
      </c>
      <c r="C67" s="31">
        <v>1719924</v>
      </c>
      <c r="D67" s="31">
        <v>0</v>
      </c>
      <c r="E67" s="31">
        <v>102</v>
      </c>
      <c r="F67" s="31">
        <v>0</v>
      </c>
      <c r="G67" s="31">
        <v>0</v>
      </c>
      <c r="H67" s="31">
        <v>0</v>
      </c>
      <c r="I67" s="31">
        <v>0</v>
      </c>
      <c r="J67" s="31">
        <v>0</v>
      </c>
      <c r="K67" s="31">
        <f t="shared" ref="K67:K74" si="27">SUM(C67:J67)</f>
        <v>1720026</v>
      </c>
    </row>
    <row r="68" spans="1:28" ht="15" x14ac:dyDescent="0.25">
      <c r="A68" s="30">
        <v>2020</v>
      </c>
      <c r="B68" s="1" t="s">
        <v>165</v>
      </c>
      <c r="C68" s="31">
        <v>223978</v>
      </c>
      <c r="D68" s="31">
        <v>0</v>
      </c>
      <c r="E68" s="31">
        <v>76166</v>
      </c>
      <c r="F68" s="31">
        <v>0</v>
      </c>
      <c r="G68" s="31">
        <v>-63</v>
      </c>
      <c r="H68" s="31">
        <v>0</v>
      </c>
      <c r="I68" s="31">
        <v>0</v>
      </c>
      <c r="J68" s="31">
        <v>-34160</v>
      </c>
      <c r="K68" s="31">
        <f t="shared" si="27"/>
        <v>265921</v>
      </c>
    </row>
    <row r="69" spans="1:28" ht="15" x14ac:dyDescent="0.25">
      <c r="A69" s="30">
        <v>2020</v>
      </c>
      <c r="B69" s="1" t="s">
        <v>164</v>
      </c>
      <c r="C69" s="31">
        <v>376684</v>
      </c>
      <c r="D69" s="31">
        <v>0</v>
      </c>
      <c r="E69" s="31">
        <v>1373</v>
      </c>
      <c r="F69" s="31">
        <v>-73</v>
      </c>
      <c r="G69" s="31">
        <v>33414</v>
      </c>
      <c r="H69" s="31">
        <v>0</v>
      </c>
      <c r="I69" s="31">
        <v>0</v>
      </c>
      <c r="J69" s="31">
        <v>-20186</v>
      </c>
      <c r="K69" s="31">
        <f t="shared" si="27"/>
        <v>391212</v>
      </c>
      <c r="O69" s="11" t="s">
        <v>293</v>
      </c>
    </row>
    <row r="70" spans="1:28" ht="15" x14ac:dyDescent="0.25">
      <c r="A70" s="30">
        <v>2020</v>
      </c>
      <c r="B70" s="1" t="s">
        <v>163</v>
      </c>
      <c r="C70" s="31">
        <v>467316</v>
      </c>
      <c r="D70" s="31">
        <v>0</v>
      </c>
      <c r="E70" s="31">
        <v>89666</v>
      </c>
      <c r="F70" s="31">
        <v>-6908</v>
      </c>
      <c r="G70" s="31">
        <v>2525</v>
      </c>
      <c r="H70" s="31">
        <v>21</v>
      </c>
      <c r="I70" s="31">
        <v>0</v>
      </c>
      <c r="J70" s="31">
        <v>-68329</v>
      </c>
      <c r="K70" s="31">
        <f t="shared" si="27"/>
        <v>484291</v>
      </c>
      <c r="O70" s="1" t="s">
        <v>166</v>
      </c>
      <c r="P70" s="13">
        <f t="shared" ref="P70:AB70" si="28">(IF(P22="-",0,P22))/((IF(P81="-",0,P81))+(IF(P2="-",0,P2)/2))</f>
        <v>0</v>
      </c>
      <c r="Q70" s="13">
        <f t="shared" si="28"/>
        <v>0</v>
      </c>
      <c r="R70" s="13">
        <f t="shared" si="28"/>
        <v>0</v>
      </c>
      <c r="S70" s="13">
        <f t="shared" si="28"/>
        <v>0</v>
      </c>
      <c r="T70" s="13">
        <f t="shared" si="28"/>
        <v>0</v>
      </c>
      <c r="U70" s="13">
        <f t="shared" si="28"/>
        <v>0</v>
      </c>
      <c r="V70" s="13">
        <f t="shared" si="28"/>
        <v>0</v>
      </c>
      <c r="W70" s="13">
        <f t="shared" si="28"/>
        <v>0</v>
      </c>
      <c r="X70" s="13">
        <f t="shared" si="28"/>
        <v>0</v>
      </c>
      <c r="Y70" s="13">
        <f t="shared" si="28"/>
        <v>0</v>
      </c>
      <c r="Z70" s="13">
        <f t="shared" si="28"/>
        <v>0</v>
      </c>
      <c r="AA70" s="13">
        <f t="shared" si="28"/>
        <v>0</v>
      </c>
      <c r="AB70" s="13">
        <f t="shared" si="28"/>
        <v>0</v>
      </c>
    </row>
    <row r="71" spans="1:28" ht="15" x14ac:dyDescent="0.25">
      <c r="A71" s="30">
        <v>2020</v>
      </c>
      <c r="B71" s="1" t="s">
        <v>162</v>
      </c>
      <c r="C71" s="31">
        <v>41043</v>
      </c>
      <c r="D71" s="31">
        <v>0</v>
      </c>
      <c r="E71" s="31">
        <v>2636</v>
      </c>
      <c r="F71" s="31">
        <v>-755</v>
      </c>
      <c r="G71" s="31">
        <v>-35</v>
      </c>
      <c r="H71" s="31">
        <v>-2822</v>
      </c>
      <c r="I71" s="31">
        <v>0</v>
      </c>
      <c r="J71" s="31">
        <v>-5609</v>
      </c>
      <c r="K71" s="31">
        <f t="shared" si="27"/>
        <v>34458</v>
      </c>
      <c r="O71" s="1" t="s">
        <v>165</v>
      </c>
      <c r="P71" s="13">
        <f t="shared" ref="P71:AB71" si="29">(IF(P23="-",0,P23))/((IF(P82="-",0,P82))+(IF(P3="-",0,P3)/2))</f>
        <v>-0.26806982095751247</v>
      </c>
      <c r="Q71" s="13">
        <f t="shared" si="29"/>
        <v>-0.17642949805408642</v>
      </c>
      <c r="R71" s="13">
        <f t="shared" si="29"/>
        <v>-0.16260542280091736</v>
      </c>
      <c r="S71" s="13">
        <f t="shared" si="29"/>
        <v>-0.14824039949122311</v>
      </c>
      <c r="T71" s="13">
        <f t="shared" si="29"/>
        <v>-0.14393394924337566</v>
      </c>
      <c r="U71" s="13">
        <f t="shared" si="29"/>
        <v>-0.13561591836638459</v>
      </c>
      <c r="V71" s="13">
        <f t="shared" si="29"/>
        <v>-0.12337799817964741</v>
      </c>
      <c r="W71" s="13">
        <f t="shared" si="29"/>
        <v>-0.13035133041543762</v>
      </c>
      <c r="X71" s="13">
        <f t="shared" si="29"/>
        <v>-0.14213953596978463</v>
      </c>
      <c r="Y71" s="13">
        <f t="shared" si="29"/>
        <v>-0.14582154847899073</v>
      </c>
      <c r="Z71" s="13">
        <f t="shared" si="29"/>
        <v>-0.1609507512548127</v>
      </c>
      <c r="AA71" s="13">
        <f t="shared" si="29"/>
        <v>-0.16035620039705464</v>
      </c>
      <c r="AB71" s="13">
        <f t="shared" si="29"/>
        <v>-0.16469273280922503</v>
      </c>
    </row>
    <row r="72" spans="1:28" ht="15" x14ac:dyDescent="0.25">
      <c r="A72" s="30">
        <v>2020</v>
      </c>
      <c r="B72" s="1" t="s">
        <v>161</v>
      </c>
      <c r="C72" s="31">
        <v>8426</v>
      </c>
      <c r="D72" s="31">
        <v>0</v>
      </c>
      <c r="E72" s="31">
        <v>3033</v>
      </c>
      <c r="F72" s="31">
        <v>-103</v>
      </c>
      <c r="G72" s="31">
        <v>80</v>
      </c>
      <c r="H72" s="31">
        <v>0</v>
      </c>
      <c r="I72" s="31">
        <v>0</v>
      </c>
      <c r="J72" s="31">
        <v>-1411</v>
      </c>
      <c r="K72" s="31">
        <f t="shared" si="27"/>
        <v>10025</v>
      </c>
      <c r="O72" s="1" t="s">
        <v>164</v>
      </c>
      <c r="P72" s="13">
        <f t="shared" ref="P72:AB72" si="30">(IF(P24="-",0,P24))/((IF(P83="-",0,P83))+(IF(P4="-",0,P4)/2))</f>
        <v>-3.0947379207870062E-2</v>
      </c>
      <c r="Q72" s="13">
        <f t="shared" si="30"/>
        <v>-3.7744933378121154E-2</v>
      </c>
      <c r="R72" s="13">
        <f t="shared" si="30"/>
        <v>-4.0072140384134383E-2</v>
      </c>
      <c r="S72" s="13">
        <f t="shared" si="30"/>
        <v>-4.0542315494519927E-2</v>
      </c>
      <c r="T72" s="13">
        <f t="shared" si="30"/>
        <v>-4.3579756185696136E-2</v>
      </c>
      <c r="U72" s="13">
        <f t="shared" si="30"/>
        <v>-6.3744599933911905E-2</v>
      </c>
      <c r="V72" s="13">
        <f t="shared" si="30"/>
        <v>-5.7754851582617714E-2</v>
      </c>
      <c r="W72" s="13">
        <f t="shared" si="30"/>
        <v>-5.3491197642635026E-2</v>
      </c>
      <c r="X72" s="13">
        <f t="shared" si="30"/>
        <v>-5.4324019380102208E-2</v>
      </c>
      <c r="Y72" s="13">
        <f t="shared" si="30"/>
        <v>-5.7749200495848828E-2</v>
      </c>
      <c r="Z72" s="13">
        <f t="shared" si="30"/>
        <v>-6.3074377743979934E-2</v>
      </c>
      <c r="AA72" s="13">
        <f t="shared" si="30"/>
        <v>-5.7855472747924269E-2</v>
      </c>
      <c r="AB72" s="13">
        <f t="shared" si="30"/>
        <v>-6.2412784403836456E-2</v>
      </c>
    </row>
    <row r="73" spans="1:28" ht="15" x14ac:dyDescent="0.25">
      <c r="A73" s="30">
        <v>2020</v>
      </c>
      <c r="B73" s="1" t="s">
        <v>160</v>
      </c>
      <c r="C73" s="31">
        <v>14756</v>
      </c>
      <c r="D73" s="31">
        <v>0</v>
      </c>
      <c r="E73" s="31">
        <v>8863</v>
      </c>
      <c r="F73" s="31">
        <v>-45</v>
      </c>
      <c r="G73" s="31">
        <v>12</v>
      </c>
      <c r="H73" s="31">
        <v>-1</v>
      </c>
      <c r="I73" s="31">
        <v>0</v>
      </c>
      <c r="J73" s="31">
        <v>-3618</v>
      </c>
      <c r="K73" s="31">
        <f t="shared" si="27"/>
        <v>19967</v>
      </c>
      <c r="O73" s="1" t="s">
        <v>163</v>
      </c>
      <c r="P73" s="13">
        <f t="shared" ref="P73:AB73" si="31">(IF(P25="-",0,P25))/((IF(P84="-",0,P84))+(IF(P5="-",0,P5)/2))</f>
        <v>-0.1078223687469258</v>
      </c>
      <c r="Q73" s="13">
        <f t="shared" si="31"/>
        <v>-0.12850150373612212</v>
      </c>
      <c r="R73" s="13">
        <f t="shared" si="31"/>
        <v>-0.12860990440001849</v>
      </c>
      <c r="S73" s="13">
        <f t="shared" si="31"/>
        <v>-0.12474083930625336</v>
      </c>
      <c r="T73" s="13">
        <f t="shared" si="31"/>
        <v>-0.12726747544771808</v>
      </c>
      <c r="U73" s="13">
        <f t="shared" si="31"/>
        <v>-0.15659014440825322</v>
      </c>
      <c r="V73" s="13">
        <f t="shared" si="31"/>
        <v>-0.13703551758328852</v>
      </c>
      <c r="W73" s="13">
        <f t="shared" si="31"/>
        <v>-0.13341625191106493</v>
      </c>
      <c r="X73" s="13">
        <f t="shared" si="31"/>
        <v>-0.15866404053549224</v>
      </c>
      <c r="Y73" s="13">
        <f t="shared" si="31"/>
        <v>-0.12831903005691761</v>
      </c>
      <c r="Z73" s="13">
        <f t="shared" si="31"/>
        <v>-0.13566983647478406</v>
      </c>
      <c r="AA73" s="13">
        <f t="shared" si="31"/>
        <v>-0.13861621329436929</v>
      </c>
      <c r="AB73" s="13">
        <f t="shared" si="31"/>
        <v>-0.10827243648089876</v>
      </c>
    </row>
    <row r="74" spans="1:28" ht="15" x14ac:dyDescent="0.25">
      <c r="A74" s="30">
        <v>2020</v>
      </c>
      <c r="B74" s="1" t="s">
        <v>111</v>
      </c>
      <c r="C74" s="31">
        <v>6831</v>
      </c>
      <c r="D74" s="31">
        <v>0</v>
      </c>
      <c r="E74" s="31">
        <v>763</v>
      </c>
      <c r="F74" s="31">
        <v>-265</v>
      </c>
      <c r="G74" s="31">
        <v>417</v>
      </c>
      <c r="H74" s="31">
        <v>0</v>
      </c>
      <c r="I74" s="31">
        <v>0</v>
      </c>
      <c r="J74" s="31">
        <v>-35</v>
      </c>
      <c r="K74" s="31">
        <f t="shared" si="27"/>
        <v>7711</v>
      </c>
      <c r="O74" s="1" t="s">
        <v>162</v>
      </c>
      <c r="P74" s="13">
        <f t="shared" ref="P74:AB74" si="32">(IF(P26="-",0,P26))/((IF(P85="-",0,P85))+(IF(P6="-",0,P6)/2))</f>
        <v>-8.8738653555219371E-2</v>
      </c>
      <c r="Q74" s="13">
        <f t="shared" si="32"/>
        <v>-9.6656585325433975E-2</v>
      </c>
      <c r="R74" s="13">
        <f t="shared" si="32"/>
        <v>-9.2427025923657896E-2</v>
      </c>
      <c r="S74" s="13">
        <f t="shared" si="32"/>
        <v>-0.12871409706173656</v>
      </c>
      <c r="T74" s="13">
        <f t="shared" si="32"/>
        <v>-9.7619973219299383E-2</v>
      </c>
      <c r="U74" s="13">
        <f t="shared" si="32"/>
        <v>-0.1324441251347088</v>
      </c>
      <c r="V74" s="13">
        <f t="shared" si="32"/>
        <v>-0.13619132306828285</v>
      </c>
      <c r="W74" s="13">
        <f t="shared" si="32"/>
        <v>-0.1324095276315479</v>
      </c>
      <c r="X74" s="13">
        <f t="shared" si="32"/>
        <v>-0.23233453520659786</v>
      </c>
      <c r="Y74" s="13">
        <f t="shared" si="32"/>
        <v>-0.10785329382192561</v>
      </c>
      <c r="Z74" s="13">
        <f t="shared" si="32"/>
        <v>-0.14317362956188553</v>
      </c>
      <c r="AA74" s="13">
        <f t="shared" si="32"/>
        <v>-6.5017802103497863E-2</v>
      </c>
      <c r="AB74" s="13">
        <f t="shared" si="32"/>
        <v>-8.7748953974895391E-2</v>
      </c>
    </row>
    <row r="75" spans="1:28" ht="15" x14ac:dyDescent="0.25">
      <c r="A75" s="30">
        <v>2020</v>
      </c>
      <c r="B75" s="1" t="s">
        <v>159</v>
      </c>
      <c r="C75" s="31"/>
      <c r="D75" s="31"/>
      <c r="E75" s="31"/>
      <c r="F75" s="31"/>
      <c r="G75" s="31"/>
      <c r="H75" s="31"/>
      <c r="I75" s="31"/>
      <c r="J75" s="31"/>
      <c r="K75" s="31"/>
      <c r="O75" s="1" t="s">
        <v>161</v>
      </c>
      <c r="P75" s="13">
        <f t="shared" ref="P75:AB75" si="33">(IF(P27="-",0,P27))/((IF(P86="-",0,P86))+(IF(P7="-",0,P7)/2))</f>
        <v>-0.10855798805862131</v>
      </c>
      <c r="Q75" s="13">
        <f t="shared" si="33"/>
        <v>-9.3222354340071339E-2</v>
      </c>
      <c r="R75" s="13">
        <f t="shared" si="33"/>
        <v>-9.3218364017711483E-2</v>
      </c>
      <c r="S75" s="13">
        <f t="shared" si="33"/>
        <v>-9.5281409891984081E-2</v>
      </c>
      <c r="T75" s="13">
        <f t="shared" si="33"/>
        <v>-0.10782646849119729</v>
      </c>
      <c r="U75" s="13">
        <f t="shared" si="33"/>
        <v>-0.11123801956597308</v>
      </c>
      <c r="V75" s="13">
        <f t="shared" si="33"/>
        <v>-0.12384783826450069</v>
      </c>
      <c r="W75" s="13">
        <f t="shared" si="33"/>
        <v>-0.14191601709831531</v>
      </c>
      <c r="X75" s="13">
        <f t="shared" si="33"/>
        <v>-0.16361744559091304</v>
      </c>
      <c r="Y75" s="13">
        <f t="shared" si="33"/>
        <v>-0.13785982478097622</v>
      </c>
      <c r="Z75" s="13">
        <f t="shared" si="33"/>
        <v>-0.1320581014729951</v>
      </c>
      <c r="AA75" s="13">
        <f t="shared" si="33"/>
        <v>-0.1299266442869576</v>
      </c>
      <c r="AB75" s="13">
        <f t="shared" si="33"/>
        <v>-0.13536303003075648</v>
      </c>
    </row>
    <row r="76" spans="1:28" ht="15" x14ac:dyDescent="0.25">
      <c r="A76" s="30">
        <v>2020</v>
      </c>
      <c r="B76" s="1" t="s">
        <v>158</v>
      </c>
      <c r="C76" s="31">
        <v>20031</v>
      </c>
      <c r="D76" s="31">
        <v>0</v>
      </c>
      <c r="E76" s="31">
        <v>27170</v>
      </c>
      <c r="F76" s="31">
        <v>-18</v>
      </c>
      <c r="G76" s="31">
        <v>-36350</v>
      </c>
      <c r="H76" s="31">
        <v>0</v>
      </c>
      <c r="I76" s="31">
        <v>0</v>
      </c>
      <c r="J76" s="31">
        <v>0</v>
      </c>
      <c r="K76" s="31">
        <f>SUM(C76:J76)</f>
        <v>10833</v>
      </c>
      <c r="O76" s="1" t="s">
        <v>160</v>
      </c>
      <c r="P76" s="13">
        <f t="shared" ref="P76:AB76" si="34">(IF(P28="-",0,P28))/((IF(P87="-",0,P87))+(IF(P8="-",0,P8)/2))</f>
        <v>-0.11599066238692735</v>
      </c>
      <c r="Q76" s="13">
        <f t="shared" si="34"/>
        <v>-0.15874003984063745</v>
      </c>
      <c r="R76" s="13">
        <f t="shared" si="34"/>
        <v>-0.1783057493800819</v>
      </c>
      <c r="S76" s="13">
        <f t="shared" si="34"/>
        <v>-0.17946768060836502</v>
      </c>
      <c r="T76" s="13">
        <f t="shared" si="34"/>
        <v>-0.19114794568859109</v>
      </c>
      <c r="U76" s="13">
        <f t="shared" si="34"/>
        <v>-0.20667933206679331</v>
      </c>
      <c r="V76" s="13">
        <f t="shared" si="34"/>
        <v>-0.18660730847709145</v>
      </c>
      <c r="W76" s="13">
        <f t="shared" si="34"/>
        <v>-0.18856026058631922</v>
      </c>
      <c r="X76" s="13">
        <f t="shared" si="34"/>
        <v>-0.21910202338369547</v>
      </c>
      <c r="Y76" s="13">
        <f t="shared" si="34"/>
        <v>-0.23160581662163446</v>
      </c>
      <c r="Z76" s="13">
        <f t="shared" si="34"/>
        <v>-0.2563084514315222</v>
      </c>
      <c r="AA76" s="13">
        <f t="shared" si="34"/>
        <v>-0.27032941838531843</v>
      </c>
      <c r="AB76" s="13">
        <f t="shared" si="34"/>
        <v>-0.30017920161831152</v>
      </c>
    </row>
    <row r="77" spans="1:28" ht="15" x14ac:dyDescent="0.25">
      <c r="A77" s="30">
        <v>2020</v>
      </c>
      <c r="B77" s="1" t="s">
        <v>157</v>
      </c>
      <c r="C77" s="31"/>
      <c r="D77" s="31"/>
      <c r="E77" s="31"/>
      <c r="F77" s="31"/>
      <c r="G77" s="31"/>
      <c r="H77" s="31"/>
      <c r="I77" s="31"/>
      <c r="J77" s="31"/>
      <c r="K77" s="31"/>
      <c r="O77" s="1" t="s">
        <v>111</v>
      </c>
      <c r="P77" s="13">
        <f t="shared" ref="P77:AB77" si="35">(IF(P29="-",0,P29))/((IF(P88="-",0,P88))+(IF(P9="-",0,P9)/2))</f>
        <v>0</v>
      </c>
      <c r="Q77" s="13">
        <f t="shared" si="35"/>
        <v>0</v>
      </c>
      <c r="R77" s="13">
        <f t="shared" si="35"/>
        <v>0</v>
      </c>
      <c r="S77" s="13">
        <f t="shared" si="35"/>
        <v>-2.0907840440165061E-2</v>
      </c>
      <c r="T77" s="13">
        <f t="shared" si="35"/>
        <v>0</v>
      </c>
      <c r="U77" s="13">
        <f t="shared" si="35"/>
        <v>-8.6602580756906552E-4</v>
      </c>
      <c r="V77" s="13">
        <f t="shared" si="35"/>
        <v>-6.1919504643962852E-4</v>
      </c>
      <c r="W77" s="13">
        <f t="shared" si="35"/>
        <v>-4.8526863084922007E-3</v>
      </c>
      <c r="X77" s="13">
        <f t="shared" si="35"/>
        <v>-1.0614385614385614E-2</v>
      </c>
      <c r="Y77" s="13">
        <f t="shared" si="35"/>
        <v>-1.4005602240896359E-2</v>
      </c>
      <c r="Z77" s="13">
        <f t="shared" si="35"/>
        <v>-1.2510088781275222E-2</v>
      </c>
      <c r="AA77" s="13">
        <f t="shared" si="35"/>
        <v>-1.1813909369206226E-2</v>
      </c>
      <c r="AB77" s="13">
        <f t="shared" si="35"/>
        <v>-1.6695932525403724E-2</v>
      </c>
    </row>
    <row r="78" spans="1:28" x14ac:dyDescent="0.2">
      <c r="A78" s="30">
        <v>2020</v>
      </c>
      <c r="B78" s="21" t="s">
        <v>150</v>
      </c>
      <c r="C78" s="29">
        <f t="shared" ref="C78:K78" si="36">SUM(C67:C76)</f>
        <v>2878989</v>
      </c>
      <c r="D78" s="29">
        <f t="shared" si="36"/>
        <v>0</v>
      </c>
      <c r="E78" s="29">
        <f t="shared" si="36"/>
        <v>209772</v>
      </c>
      <c r="F78" s="29">
        <f t="shared" si="36"/>
        <v>-8167</v>
      </c>
      <c r="G78" s="29">
        <f t="shared" si="36"/>
        <v>0</v>
      </c>
      <c r="H78" s="29">
        <f t="shared" si="36"/>
        <v>-2802</v>
      </c>
      <c r="I78" s="29">
        <f t="shared" si="36"/>
        <v>0</v>
      </c>
      <c r="J78" s="29">
        <f t="shared" si="36"/>
        <v>-133348</v>
      </c>
      <c r="K78" s="29">
        <f t="shared" si="36"/>
        <v>2944444</v>
      </c>
      <c r="L78" s="9"/>
      <c r="P78" s="5"/>
    </row>
    <row r="79" spans="1:28" ht="15" x14ac:dyDescent="0.25">
      <c r="A79" s="17"/>
      <c r="C79" s="3"/>
      <c r="D79" s="3"/>
      <c r="E79" s="3"/>
      <c r="F79" s="3"/>
      <c r="G79" s="3"/>
      <c r="H79" s="3"/>
      <c r="I79" s="31"/>
      <c r="J79" s="3"/>
      <c r="K79" s="3"/>
    </row>
    <row r="80" spans="1:28" ht="15" x14ac:dyDescent="0.25">
      <c r="A80" s="30">
        <v>2019</v>
      </c>
      <c r="B80" s="1" t="s">
        <v>166</v>
      </c>
      <c r="C80" s="31">
        <v>1759560</v>
      </c>
      <c r="D80" s="31"/>
      <c r="E80" s="31">
        <v>3070</v>
      </c>
      <c r="F80" s="31">
        <v>-42732</v>
      </c>
      <c r="G80" s="31">
        <v>26</v>
      </c>
      <c r="H80" s="31" t="s">
        <v>67</v>
      </c>
      <c r="I80" s="31" t="s">
        <v>67</v>
      </c>
      <c r="J80" s="31" t="s">
        <v>67</v>
      </c>
      <c r="K80" s="31">
        <f t="shared" ref="K80:K87" si="37">SUM(C80:J80)</f>
        <v>1719924</v>
      </c>
      <c r="O80" s="11" t="s">
        <v>288</v>
      </c>
    </row>
    <row r="81" spans="1:28" ht="15" x14ac:dyDescent="0.25">
      <c r="A81" s="30">
        <v>2019</v>
      </c>
      <c r="B81" s="1" t="s">
        <v>165</v>
      </c>
      <c r="C81" s="31">
        <v>205875</v>
      </c>
      <c r="D81" s="31"/>
      <c r="E81" s="31">
        <v>46403</v>
      </c>
      <c r="F81" s="31" t="s">
        <v>67</v>
      </c>
      <c r="G81" s="31">
        <v>-35</v>
      </c>
      <c r="H81" s="31">
        <v>2</v>
      </c>
      <c r="I81" s="31" t="s">
        <v>67</v>
      </c>
      <c r="J81" s="31">
        <v>-28263</v>
      </c>
      <c r="K81" s="31">
        <f t="shared" si="37"/>
        <v>223982</v>
      </c>
      <c r="O81" s="1" t="s">
        <v>166</v>
      </c>
      <c r="P81" s="3" cm="1">
        <f t="array" ref="P81:P92">_xlfn._xlws.FILTER($C:$C,$A:$A=P$1)</f>
        <v>1825873</v>
      </c>
      <c r="Q81" s="3" cm="1">
        <f t="array" ref="Q81:Q92">_xlfn._xlws.FILTER($C:$C,$A:$A=Q$1)</f>
        <v>1855513</v>
      </c>
      <c r="R81" s="3" cm="1">
        <f t="array" ref="R81:R92">_xlfn._xlws.FILTER($C:$C,$A:$A=R$1)</f>
        <v>1846737</v>
      </c>
      <c r="S81" s="3" cm="1">
        <f t="array" ref="S81:S92">_xlfn._xlws.FILTER($C:$C,$A:$A=S$1)</f>
        <v>1864703</v>
      </c>
      <c r="T81" s="3" cm="1">
        <f t="array" ref="T81:T92">_xlfn._xlws.FILTER($C:$C,$A:$A=T$1)</f>
        <v>1820821</v>
      </c>
      <c r="U81" s="3" cm="1">
        <f t="array" ref="U81:U92">_xlfn._xlws.FILTER($C:$C,$A:$A=U$1)</f>
        <v>1757566</v>
      </c>
      <c r="V81" s="3" cm="1">
        <f t="array" ref="V81:V92">_xlfn._xlws.FILTER($C:$C,$A:$A=V$1)</f>
        <v>1759560</v>
      </c>
      <c r="W81" s="3" cm="1">
        <f t="array" ref="W81:W92">_xlfn._xlws.FILTER($C:$C,$A:$A=W$1)</f>
        <v>1719924</v>
      </c>
      <c r="X81" s="3" cm="1">
        <f t="array" ref="X81:X92">_xlfn._xlws.FILTER($C:$C,$A:$A=X$1)</f>
        <v>1720026</v>
      </c>
      <c r="Y81" s="3" cm="1">
        <f t="array" ref="Y81:Y92">_xlfn._xlws.FILTER($C:$C,$A:$A=Y$1)</f>
        <v>1720317</v>
      </c>
      <c r="Z81" s="3" cm="1">
        <f t="array" ref="Z81:Z92">_xlfn._xlws.FILTER($C:$C,$A:$A=Z$1)</f>
        <v>1717425</v>
      </c>
      <c r="AA81" s="3" cm="1">
        <f t="array" ref="AA81:AA92">_xlfn._xlws.FILTER($C:$C,$A:$A=AA$1)</f>
        <v>2083280</v>
      </c>
      <c r="AB81" s="3" cm="1">
        <f t="array" ref="AB81:AB92">_xlfn._xlws.FILTER($C:$C,$A:$A=AB$1)</f>
        <v>2466270</v>
      </c>
    </row>
    <row r="82" spans="1:28" ht="12" customHeight="1" x14ac:dyDescent="0.25">
      <c r="A82" s="30">
        <v>2019</v>
      </c>
      <c r="B82" s="1" t="s">
        <v>164</v>
      </c>
      <c r="C82" s="31">
        <v>301745</v>
      </c>
      <c r="D82" s="31"/>
      <c r="E82" s="31">
        <v>1931</v>
      </c>
      <c r="F82" s="31" t="s">
        <v>67</v>
      </c>
      <c r="G82" s="31">
        <v>86136</v>
      </c>
      <c r="H82" s="31">
        <f>358+3997</f>
        <v>4355</v>
      </c>
      <c r="I82" s="31" t="s">
        <v>67</v>
      </c>
      <c r="J82" s="31">
        <v>-17483</v>
      </c>
      <c r="K82" s="31">
        <f t="shared" si="37"/>
        <v>376684</v>
      </c>
      <c r="O82" s="1" t="s">
        <v>165</v>
      </c>
      <c r="P82" s="3">
        <v>146161</v>
      </c>
      <c r="Q82" s="3">
        <v>157308</v>
      </c>
      <c r="R82" s="3">
        <v>198515</v>
      </c>
      <c r="S82" s="3">
        <v>193944</v>
      </c>
      <c r="T82" s="3">
        <v>185044</v>
      </c>
      <c r="U82" s="3">
        <v>187957</v>
      </c>
      <c r="V82" s="3">
        <v>205875</v>
      </c>
      <c r="W82" s="3">
        <v>223978</v>
      </c>
      <c r="X82" s="3">
        <v>265921</v>
      </c>
      <c r="Y82" s="3">
        <v>397786</v>
      </c>
      <c r="Z82" s="3">
        <v>513509</v>
      </c>
      <c r="AA82" s="3">
        <v>613121</v>
      </c>
      <c r="AB82" s="3">
        <v>790417</v>
      </c>
    </row>
    <row r="83" spans="1:28" ht="15" x14ac:dyDescent="0.25">
      <c r="A83" s="30">
        <v>2019</v>
      </c>
      <c r="B83" s="1" t="s">
        <v>163</v>
      </c>
      <c r="C83" s="31">
        <v>394236</v>
      </c>
      <c r="D83" s="31"/>
      <c r="E83" s="31">
        <v>106099</v>
      </c>
      <c r="F83" s="31">
        <v>-11023</v>
      </c>
      <c r="G83" s="31">
        <v>41585</v>
      </c>
      <c r="H83" s="31">
        <v>-2287</v>
      </c>
      <c r="I83" s="31" t="s">
        <v>67</v>
      </c>
      <c r="J83" s="31">
        <v>-61294</v>
      </c>
      <c r="K83" s="31">
        <f t="shared" si="37"/>
        <v>467316</v>
      </c>
      <c r="O83" s="1" t="s">
        <v>164</v>
      </c>
      <c r="P83" s="3">
        <v>165657</v>
      </c>
      <c r="Q83" s="3">
        <v>178280</v>
      </c>
      <c r="R83" s="3">
        <v>189807</v>
      </c>
      <c r="S83" s="3">
        <v>205511</v>
      </c>
      <c r="T83" s="3">
        <v>224651</v>
      </c>
      <c r="U83" s="3">
        <v>245175</v>
      </c>
      <c r="V83" s="3">
        <v>301745</v>
      </c>
      <c r="W83" s="3">
        <v>376684</v>
      </c>
      <c r="X83" s="3">
        <v>391212</v>
      </c>
      <c r="Y83" s="3">
        <v>382767</v>
      </c>
      <c r="Z83" s="3">
        <v>446759</v>
      </c>
      <c r="AA83" s="3">
        <v>533164</v>
      </c>
      <c r="AB83" s="3">
        <v>632288</v>
      </c>
    </row>
    <row r="84" spans="1:28" ht="15" x14ac:dyDescent="0.25">
      <c r="A84" s="30">
        <v>2019</v>
      </c>
      <c r="B84" s="1" t="s">
        <v>162</v>
      </c>
      <c r="C84" s="31">
        <v>36957</v>
      </c>
      <c r="D84" s="31"/>
      <c r="E84" s="31">
        <v>11554</v>
      </c>
      <c r="F84" s="31">
        <v>-1055</v>
      </c>
      <c r="G84" s="31">
        <v>-571</v>
      </c>
      <c r="H84" s="31">
        <v>-22</v>
      </c>
      <c r="I84" s="31" t="s">
        <v>67</v>
      </c>
      <c r="J84" s="31">
        <v>-5820</v>
      </c>
      <c r="K84" s="31">
        <f t="shared" si="37"/>
        <v>41043</v>
      </c>
      <c r="O84" s="1" t="s">
        <v>163</v>
      </c>
      <c r="P84" s="3">
        <v>393680</v>
      </c>
      <c r="Q84" s="3">
        <v>410435</v>
      </c>
      <c r="R84" s="3">
        <v>405220</v>
      </c>
      <c r="S84" s="3">
        <v>394385</v>
      </c>
      <c r="T84" s="3">
        <v>362290</v>
      </c>
      <c r="U84" s="3">
        <v>352222</v>
      </c>
      <c r="V84" s="3">
        <v>394236</v>
      </c>
      <c r="W84" s="3">
        <v>467316</v>
      </c>
      <c r="X84" s="3">
        <v>484291</v>
      </c>
      <c r="Y84" s="3">
        <v>708357</v>
      </c>
      <c r="Z84" s="3">
        <v>844123</v>
      </c>
      <c r="AA84" s="3">
        <v>862913</v>
      </c>
      <c r="AB84" s="3">
        <v>1048834</v>
      </c>
    </row>
    <row r="85" spans="1:28" ht="15" x14ac:dyDescent="0.25">
      <c r="A85" s="30">
        <v>2019</v>
      </c>
      <c r="B85" s="1" t="s">
        <v>161</v>
      </c>
      <c r="C85" s="31">
        <v>8744</v>
      </c>
      <c r="D85" s="31"/>
      <c r="E85" s="31">
        <v>2149</v>
      </c>
      <c r="F85" s="31">
        <v>-36</v>
      </c>
      <c r="G85" s="31">
        <v>109</v>
      </c>
      <c r="H85" s="31">
        <v>-1324</v>
      </c>
      <c r="I85" s="31" t="s">
        <v>67</v>
      </c>
      <c r="J85" s="31">
        <v>-1216</v>
      </c>
      <c r="K85" s="31">
        <f t="shared" si="37"/>
        <v>8426</v>
      </c>
      <c r="O85" s="1" t="s">
        <v>162</v>
      </c>
      <c r="P85" s="3">
        <v>17398</v>
      </c>
      <c r="Q85" s="3">
        <v>22409</v>
      </c>
      <c r="R85" s="3">
        <v>23039</v>
      </c>
      <c r="S85" s="3">
        <v>23719</v>
      </c>
      <c r="T85" s="3">
        <v>21431</v>
      </c>
      <c r="U85" s="3">
        <v>22356</v>
      </c>
      <c r="V85" s="3">
        <v>36957</v>
      </c>
      <c r="W85" s="3">
        <v>41043</v>
      </c>
      <c r="X85" s="3">
        <v>34458</v>
      </c>
      <c r="Y85" s="3">
        <v>59862</v>
      </c>
      <c r="Z85" s="3">
        <v>59710</v>
      </c>
      <c r="AA85" s="3">
        <v>104587</v>
      </c>
      <c r="AB85" s="3">
        <v>117575</v>
      </c>
    </row>
    <row r="86" spans="1:28" ht="15" x14ac:dyDescent="0.25">
      <c r="A86" s="30">
        <v>2019</v>
      </c>
      <c r="B86" s="1" t="s">
        <v>160</v>
      </c>
      <c r="C86" s="31">
        <v>10187</v>
      </c>
      <c r="D86" s="31"/>
      <c r="E86" s="31">
        <v>6581</v>
      </c>
      <c r="F86" s="31">
        <v>-61</v>
      </c>
      <c r="G86" s="31">
        <v>182</v>
      </c>
      <c r="H86" s="31">
        <v>382</v>
      </c>
      <c r="I86" s="31" t="s">
        <v>67</v>
      </c>
      <c r="J86" s="31">
        <v>-2515</v>
      </c>
      <c r="K86" s="31">
        <f t="shared" si="37"/>
        <v>14756</v>
      </c>
      <c r="O86" s="1" t="s">
        <v>161</v>
      </c>
      <c r="P86" s="3">
        <v>7795</v>
      </c>
      <c r="Q86" s="3">
        <v>7879</v>
      </c>
      <c r="R86" s="3">
        <v>8131</v>
      </c>
      <c r="S86" s="3">
        <v>8053</v>
      </c>
      <c r="T86" s="3">
        <v>8623</v>
      </c>
      <c r="U86" s="3">
        <v>8768</v>
      </c>
      <c r="V86" s="3">
        <v>8744</v>
      </c>
      <c r="W86" s="3">
        <v>8426</v>
      </c>
      <c r="X86" s="3">
        <v>10025</v>
      </c>
      <c r="Y86" s="3">
        <v>13625</v>
      </c>
      <c r="Z86" s="3">
        <v>16110</v>
      </c>
      <c r="AA86" s="3">
        <v>20224</v>
      </c>
      <c r="AB86" s="3">
        <v>25855</v>
      </c>
    </row>
    <row r="87" spans="1:28" ht="15" x14ac:dyDescent="0.25">
      <c r="A87" s="30">
        <v>2019</v>
      </c>
      <c r="B87" s="1" t="s">
        <v>111</v>
      </c>
      <c r="C87" s="31">
        <v>6015</v>
      </c>
      <c r="D87" s="31"/>
      <c r="E87" s="31">
        <v>890</v>
      </c>
      <c r="F87" s="31">
        <v>-53</v>
      </c>
      <c r="G87" s="31">
        <v>1</v>
      </c>
      <c r="H87" s="31">
        <v>-18</v>
      </c>
      <c r="I87" s="31" t="s">
        <v>67</v>
      </c>
      <c r="J87" s="31">
        <v>-4</v>
      </c>
      <c r="K87" s="31">
        <f t="shared" si="37"/>
        <v>6831</v>
      </c>
      <c r="O87" s="1" t="s">
        <v>160</v>
      </c>
      <c r="P87" s="3">
        <v>6018</v>
      </c>
      <c r="Q87" s="3">
        <v>6850</v>
      </c>
      <c r="R87" s="3">
        <v>7902</v>
      </c>
      <c r="S87" s="3">
        <v>7948</v>
      </c>
      <c r="T87" s="3">
        <v>7553</v>
      </c>
      <c r="U87" s="3">
        <v>7685</v>
      </c>
      <c r="V87" s="3">
        <v>10187</v>
      </c>
      <c r="W87" s="3">
        <v>14756</v>
      </c>
      <c r="X87" s="3">
        <v>19967</v>
      </c>
      <c r="Y87" s="3">
        <v>30225</v>
      </c>
      <c r="Z87" s="3">
        <v>35796</v>
      </c>
      <c r="AA87" s="3">
        <v>41837</v>
      </c>
      <c r="AB87" s="3">
        <v>41139</v>
      </c>
    </row>
    <row r="88" spans="1:28" ht="15" x14ac:dyDescent="0.25">
      <c r="A88" s="30">
        <v>2019</v>
      </c>
      <c r="B88" s="1" t="s">
        <v>159</v>
      </c>
      <c r="C88" s="31"/>
      <c r="D88" s="31"/>
      <c r="E88" s="31"/>
      <c r="F88" s="31"/>
      <c r="G88" s="31"/>
      <c r="H88" s="31"/>
      <c r="I88" s="31"/>
      <c r="J88" s="31"/>
      <c r="K88" s="31"/>
      <c r="O88" s="1" t="s">
        <v>111</v>
      </c>
      <c r="P88" s="3">
        <v>4891</v>
      </c>
      <c r="Q88" s="3">
        <v>4936</v>
      </c>
      <c r="R88" s="3">
        <v>5202</v>
      </c>
      <c r="S88" s="3">
        <v>5378</v>
      </c>
      <c r="T88" s="3">
        <v>5392</v>
      </c>
      <c r="U88" s="3">
        <v>5477</v>
      </c>
      <c r="V88" s="3">
        <v>6015</v>
      </c>
      <c r="W88" s="3">
        <v>6831</v>
      </c>
      <c r="X88" s="3">
        <v>7711</v>
      </c>
      <c r="Y88" s="3">
        <v>8113</v>
      </c>
      <c r="Z88" s="3">
        <v>9354</v>
      </c>
      <c r="AA88" s="3">
        <v>10278</v>
      </c>
      <c r="AB88" s="3">
        <v>14950</v>
      </c>
    </row>
    <row r="89" spans="1:28" ht="15" x14ac:dyDescent="0.25">
      <c r="A89" s="30">
        <v>2019</v>
      </c>
      <c r="B89" s="1" t="s">
        <v>158</v>
      </c>
      <c r="C89" s="31">
        <v>60946</v>
      </c>
      <c r="D89" s="31"/>
      <c r="E89" s="31">
        <v>86519</v>
      </c>
      <c r="F89" s="31" t="s">
        <v>67</v>
      </c>
      <c r="G89" s="31">
        <v>-127433</v>
      </c>
      <c r="H89" s="31">
        <v>-1</v>
      </c>
      <c r="I89" s="31" t="s">
        <v>67</v>
      </c>
      <c r="J89" s="31" t="s">
        <v>67</v>
      </c>
      <c r="K89" s="31">
        <f>SUM(C89:J89)</f>
        <v>20031</v>
      </c>
      <c r="O89" s="1" t="s">
        <v>159</v>
      </c>
      <c r="P89" s="3">
        <v>9662</v>
      </c>
      <c r="Q89" s="3">
        <v>5638</v>
      </c>
      <c r="R89" s="3">
        <v>1645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</row>
    <row r="90" spans="1:28" ht="15" x14ac:dyDescent="0.25">
      <c r="A90" s="30">
        <v>2019</v>
      </c>
      <c r="B90" s="1" t="s">
        <v>157</v>
      </c>
      <c r="C90" s="31">
        <v>0</v>
      </c>
      <c r="D90" s="31"/>
      <c r="E90" s="31" t="s">
        <v>67</v>
      </c>
      <c r="F90" s="31" t="s">
        <v>67</v>
      </c>
      <c r="G90" s="31" t="s">
        <v>67</v>
      </c>
      <c r="H90" s="31" t="s">
        <v>67</v>
      </c>
      <c r="I90" s="31" t="s">
        <v>67</v>
      </c>
      <c r="J90" s="31" t="s">
        <v>67</v>
      </c>
      <c r="K90" s="31">
        <f>SUM(C90:J90)</f>
        <v>0</v>
      </c>
      <c r="O90" s="1" t="s">
        <v>158</v>
      </c>
      <c r="P90" s="3">
        <v>17436</v>
      </c>
      <c r="Q90" s="3">
        <v>36095</v>
      </c>
      <c r="R90" s="3">
        <v>61613</v>
      </c>
      <c r="S90" s="3">
        <v>56797</v>
      </c>
      <c r="T90" s="3">
        <v>48139</v>
      </c>
      <c r="U90" s="3">
        <v>60065</v>
      </c>
      <c r="V90" s="3">
        <v>60946</v>
      </c>
      <c r="W90" s="3">
        <v>20031</v>
      </c>
      <c r="X90" s="3">
        <v>10833</v>
      </c>
      <c r="Y90" s="3">
        <v>77011</v>
      </c>
      <c r="Z90" s="3">
        <v>90326</v>
      </c>
      <c r="AA90" s="3">
        <v>126288</v>
      </c>
      <c r="AB90" s="3">
        <v>280200</v>
      </c>
    </row>
    <row r="91" spans="1:28" ht="15" x14ac:dyDescent="0.25">
      <c r="A91" s="30">
        <v>2019</v>
      </c>
      <c r="B91" s="21" t="s">
        <v>150</v>
      </c>
      <c r="C91" s="29">
        <f t="shared" ref="C91:K91" si="38">SUM(C80:C90)</f>
        <v>2784265</v>
      </c>
      <c r="D91" s="29">
        <f t="shared" si="38"/>
        <v>0</v>
      </c>
      <c r="E91" s="29">
        <f t="shared" si="38"/>
        <v>265196</v>
      </c>
      <c r="F91" s="29">
        <f t="shared" si="38"/>
        <v>-54960</v>
      </c>
      <c r="G91" s="29">
        <f t="shared" si="38"/>
        <v>0</v>
      </c>
      <c r="H91" s="29">
        <f t="shared" si="38"/>
        <v>1087</v>
      </c>
      <c r="I91" s="29">
        <f t="shared" si="38"/>
        <v>0</v>
      </c>
      <c r="J91" s="29">
        <f t="shared" si="38"/>
        <v>-116595</v>
      </c>
      <c r="K91" s="29">
        <f t="shared" si="38"/>
        <v>2878993</v>
      </c>
      <c r="L91" s="9"/>
      <c r="O91" s="1" t="s">
        <v>157</v>
      </c>
      <c r="P91" s="3">
        <v>0</v>
      </c>
      <c r="Q91" s="3">
        <v>0</v>
      </c>
      <c r="R91" s="3">
        <v>5848</v>
      </c>
      <c r="S91" s="3">
        <v>4239</v>
      </c>
      <c r="T91" s="3">
        <v>2120</v>
      </c>
      <c r="U91" s="3">
        <v>706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</row>
    <row r="92" spans="1:28" ht="15" x14ac:dyDescent="0.25">
      <c r="A92" s="17"/>
      <c r="C92" s="3"/>
      <c r="D92" s="3"/>
      <c r="E92" s="3"/>
      <c r="F92" s="3"/>
      <c r="G92" s="3"/>
      <c r="H92" s="3"/>
      <c r="I92" s="3"/>
      <c r="J92" s="3"/>
      <c r="K92" s="3"/>
      <c r="O92" s="21" t="s">
        <v>150</v>
      </c>
      <c r="P92" s="25">
        <v>2594571</v>
      </c>
      <c r="Q92" s="25">
        <v>2685343</v>
      </c>
      <c r="R92" s="25">
        <v>2753659</v>
      </c>
      <c r="S92" s="25">
        <v>2764677</v>
      </c>
      <c r="T92" s="25">
        <v>2686064</v>
      </c>
      <c r="U92" s="25">
        <v>2647977</v>
      </c>
      <c r="V92" s="25">
        <v>2784265</v>
      </c>
      <c r="W92" s="25">
        <v>2878989</v>
      </c>
      <c r="X92" s="25">
        <v>2944444</v>
      </c>
      <c r="Y92" s="25">
        <v>3398063</v>
      </c>
      <c r="Z92" s="25">
        <v>3733112</v>
      </c>
      <c r="AA92" s="25">
        <v>4395692</v>
      </c>
      <c r="AB92" s="25">
        <v>5417528</v>
      </c>
    </row>
    <row r="93" spans="1:28" ht="15" x14ac:dyDescent="0.25">
      <c r="A93" s="30">
        <v>2018</v>
      </c>
      <c r="B93" s="1" t="s">
        <v>166</v>
      </c>
      <c r="C93" s="31">
        <v>1757566</v>
      </c>
      <c r="D93" s="31"/>
      <c r="E93" s="31">
        <v>2005</v>
      </c>
      <c r="F93" s="31">
        <v>-11</v>
      </c>
      <c r="G93" s="31" t="s">
        <v>67</v>
      </c>
      <c r="H93" s="31" t="s">
        <v>67</v>
      </c>
      <c r="I93" s="31" t="s">
        <v>67</v>
      </c>
      <c r="J93" s="31" t="s">
        <v>67</v>
      </c>
      <c r="K93" s="31">
        <f t="shared" ref="K93:K100" si="39">SUM(C93:J93)</f>
        <v>1759560</v>
      </c>
    </row>
    <row r="94" spans="1:28" ht="15" x14ac:dyDescent="0.25">
      <c r="A94" s="30">
        <v>2018</v>
      </c>
      <c r="B94" s="1" t="s">
        <v>165</v>
      </c>
      <c r="C94" s="31">
        <v>187957</v>
      </c>
      <c r="D94" s="31"/>
      <c r="E94" s="31">
        <v>48225</v>
      </c>
      <c r="F94" s="31">
        <v>-1547</v>
      </c>
      <c r="G94" s="31" t="s">
        <v>67</v>
      </c>
      <c r="H94" s="31" t="s">
        <v>67</v>
      </c>
      <c r="I94" s="31" t="s">
        <v>67</v>
      </c>
      <c r="J94" s="31">
        <v>-28760</v>
      </c>
      <c r="K94" s="31">
        <f t="shared" si="39"/>
        <v>205875</v>
      </c>
      <c r="O94" s="11" t="s">
        <v>169</v>
      </c>
    </row>
    <row r="95" spans="1:28" ht="15" x14ac:dyDescent="0.25">
      <c r="A95" s="30">
        <v>2018</v>
      </c>
      <c r="B95" s="1" t="s">
        <v>164</v>
      </c>
      <c r="C95" s="31">
        <v>245175</v>
      </c>
      <c r="D95" s="31"/>
      <c r="E95" s="31">
        <v>2931</v>
      </c>
      <c r="F95" s="31">
        <v>-967</v>
      </c>
      <c r="G95" s="31">
        <v>70328</v>
      </c>
      <c r="H95" s="31" t="s">
        <v>67</v>
      </c>
      <c r="I95" s="31" t="s">
        <v>67</v>
      </c>
      <c r="J95" s="31">
        <v>-15722</v>
      </c>
      <c r="K95" s="31">
        <f t="shared" si="39"/>
        <v>301745</v>
      </c>
      <c r="O95" s="1" t="s">
        <v>166</v>
      </c>
      <c r="P95" s="3" cm="1">
        <f t="array" ref="P95:P106">_xlfn._xlws.FILTER($K:$K,$A:$A=P$1)</f>
        <v>1855513</v>
      </c>
      <c r="Q95" s="3" cm="1">
        <f t="array" ref="Q95:Q106">_xlfn._xlws.FILTER($K:$K,$A:$A=Q$1)</f>
        <v>1846737</v>
      </c>
      <c r="R95" s="3" cm="1">
        <f t="array" ref="R95:R106">_xlfn._xlws.FILTER($K:$K,$A:$A=R$1)</f>
        <v>1864703</v>
      </c>
      <c r="S95" s="3" cm="1">
        <f t="array" ref="S95:S106">_xlfn._xlws.FILTER($K:$K,$A:$A=S$1)</f>
        <v>1820821</v>
      </c>
      <c r="T95" s="3" cm="1">
        <f t="array" ref="T95:T106">_xlfn._xlws.FILTER($K:$K,$A:$A=T$1)</f>
        <v>1757566</v>
      </c>
      <c r="U95" s="3" cm="1">
        <f t="array" ref="U95:U106">_xlfn._xlws.FILTER($K:$K,$A:$A=U$1)</f>
        <v>1759560</v>
      </c>
      <c r="V95" s="3" cm="1">
        <f t="array" ref="V95:V106">_xlfn._xlws.FILTER($K:$K,$A:$A=V$1)</f>
        <v>1719924</v>
      </c>
      <c r="W95" s="3" cm="1">
        <f t="array" ref="W95:W106">_xlfn._xlws.FILTER($K:$K,$A:$A=W$1)</f>
        <v>1720026</v>
      </c>
      <c r="X95" s="3" cm="1">
        <f t="array" ref="X95:X106">_xlfn._xlws.FILTER($K:$K,$A:$A=X$1)</f>
        <v>1720317</v>
      </c>
      <c r="Y95" s="3" cm="1">
        <f t="array" ref="Y95:Y106">_xlfn._xlws.FILTER($K:$K,$A:$A=Y$1)</f>
        <v>1717425</v>
      </c>
      <c r="Z95" s="3" cm="1">
        <f t="array" ref="Z95:Z106">_xlfn._xlws.FILTER($K:$K,$A:$A=Z$1)</f>
        <v>2083280</v>
      </c>
      <c r="AA95" s="3" cm="1">
        <f t="array" ref="AA95:AA106">_xlfn._xlws.FILTER($K:$K,$A:$A=AA$1)</f>
        <v>2466270</v>
      </c>
      <c r="AB95" s="3" cm="1">
        <f t="array" ref="AB95:AB106">_xlfn._xlws.FILTER($K:$K,$A:$A=AB$1)</f>
        <v>3315500</v>
      </c>
    </row>
    <row r="96" spans="1:28" ht="15" x14ac:dyDescent="0.25">
      <c r="A96" s="30">
        <v>2018</v>
      </c>
      <c r="B96" s="1" t="s">
        <v>163</v>
      </c>
      <c r="C96" s="31">
        <v>352222</v>
      </c>
      <c r="D96" s="31"/>
      <c r="E96" s="31">
        <v>114969</v>
      </c>
      <c r="F96" s="31">
        <v>-9115</v>
      </c>
      <c r="G96" s="31">
        <v>316</v>
      </c>
      <c r="H96" s="31" t="s">
        <v>67</v>
      </c>
      <c r="I96" s="31" t="s">
        <v>67</v>
      </c>
      <c r="J96" s="31">
        <v>-64156</v>
      </c>
      <c r="K96" s="31">
        <f t="shared" si="39"/>
        <v>394236</v>
      </c>
      <c r="O96" s="1" t="s">
        <v>165</v>
      </c>
      <c r="P96" s="3">
        <v>157308</v>
      </c>
      <c r="Q96" s="3">
        <v>198515</v>
      </c>
      <c r="R96" s="3">
        <v>193944</v>
      </c>
      <c r="S96" s="3">
        <v>185044</v>
      </c>
      <c r="T96" s="3">
        <v>187957</v>
      </c>
      <c r="U96" s="3">
        <v>205875</v>
      </c>
      <c r="V96" s="3">
        <v>223982</v>
      </c>
      <c r="W96" s="3">
        <v>265921</v>
      </c>
      <c r="X96" s="3">
        <v>397786</v>
      </c>
      <c r="Y96" s="3">
        <v>513509</v>
      </c>
      <c r="Z96" s="3">
        <v>613121</v>
      </c>
      <c r="AA96" s="3">
        <v>790417</v>
      </c>
      <c r="AB96" s="3">
        <v>1052113</v>
      </c>
    </row>
    <row r="97" spans="1:33" ht="15" x14ac:dyDescent="0.25">
      <c r="A97" s="30">
        <v>2018</v>
      </c>
      <c r="B97" s="1" t="s">
        <v>162</v>
      </c>
      <c r="C97" s="31">
        <v>22356</v>
      </c>
      <c r="D97" s="31"/>
      <c r="E97" s="31">
        <v>19315</v>
      </c>
      <c r="F97" s="31">
        <f>-1664+1190</f>
        <v>-474</v>
      </c>
      <c r="G97" s="31" t="s">
        <v>67</v>
      </c>
      <c r="H97" s="31" t="s">
        <v>67</v>
      </c>
      <c r="I97" s="31" t="s">
        <v>67</v>
      </c>
      <c r="J97" s="31">
        <v>-4240</v>
      </c>
      <c r="K97" s="31">
        <f t="shared" si="39"/>
        <v>36957</v>
      </c>
      <c r="O97" s="1" t="s">
        <v>164</v>
      </c>
      <c r="P97" s="3">
        <v>178280</v>
      </c>
      <c r="Q97" s="3">
        <v>189807</v>
      </c>
      <c r="R97" s="3">
        <v>205511</v>
      </c>
      <c r="S97" s="3">
        <v>224651</v>
      </c>
      <c r="T97" s="3">
        <v>245175</v>
      </c>
      <c r="U97" s="3">
        <v>301745</v>
      </c>
      <c r="V97" s="3">
        <v>376684</v>
      </c>
      <c r="W97" s="3">
        <v>391212</v>
      </c>
      <c r="X97" s="3">
        <v>382767</v>
      </c>
      <c r="Y97" s="3">
        <v>446759</v>
      </c>
      <c r="Z97" s="3">
        <v>533164</v>
      </c>
      <c r="AA97" s="3">
        <v>632288</v>
      </c>
      <c r="AB97" s="3">
        <v>797295</v>
      </c>
    </row>
    <row r="98" spans="1:33" ht="15" x14ac:dyDescent="0.25">
      <c r="A98" s="30">
        <v>2018</v>
      </c>
      <c r="B98" s="1" t="s">
        <v>161</v>
      </c>
      <c r="C98" s="31">
        <v>8768</v>
      </c>
      <c r="D98" s="31"/>
      <c r="E98" s="31">
        <v>2601</v>
      </c>
      <c r="F98" s="31">
        <f>-3305+1800</f>
        <v>-1505</v>
      </c>
      <c r="G98" s="31" t="s">
        <v>67</v>
      </c>
      <c r="H98" s="31" t="s">
        <v>67</v>
      </c>
      <c r="I98" s="31" t="s">
        <v>67</v>
      </c>
      <c r="J98" s="31">
        <v>-1120</v>
      </c>
      <c r="K98" s="31">
        <f t="shared" si="39"/>
        <v>8744</v>
      </c>
      <c r="O98" s="1" t="s">
        <v>163</v>
      </c>
      <c r="P98" s="3">
        <v>410435</v>
      </c>
      <c r="Q98" s="3">
        <v>405220</v>
      </c>
      <c r="R98" s="3">
        <v>394385</v>
      </c>
      <c r="S98" s="3">
        <v>362290</v>
      </c>
      <c r="T98" s="3">
        <v>352222</v>
      </c>
      <c r="U98" s="3">
        <v>394236</v>
      </c>
      <c r="V98" s="3">
        <v>467316</v>
      </c>
      <c r="W98" s="3">
        <v>484291</v>
      </c>
      <c r="X98" s="3">
        <v>708357</v>
      </c>
      <c r="Y98" s="3">
        <v>844123</v>
      </c>
      <c r="Z98" s="3">
        <v>862913</v>
      </c>
      <c r="AA98" s="3">
        <v>1048834</v>
      </c>
      <c r="AB98" s="3">
        <v>1409647</v>
      </c>
    </row>
    <row r="99" spans="1:33" ht="15" x14ac:dyDescent="0.25">
      <c r="A99" s="30">
        <v>2018</v>
      </c>
      <c r="B99" s="1" t="s">
        <v>160</v>
      </c>
      <c r="C99" s="31">
        <v>7685</v>
      </c>
      <c r="D99" s="31"/>
      <c r="E99" s="31">
        <v>4632</v>
      </c>
      <c r="F99" s="31">
        <f>-305+233</f>
        <v>-72</v>
      </c>
      <c r="G99" s="31">
        <v>9</v>
      </c>
      <c r="H99" s="31" t="s">
        <v>67</v>
      </c>
      <c r="I99" s="31" t="s">
        <v>67</v>
      </c>
      <c r="J99" s="31">
        <v>-2067</v>
      </c>
      <c r="K99" s="31">
        <f t="shared" si="39"/>
        <v>10187</v>
      </c>
      <c r="O99" s="1" t="s">
        <v>162</v>
      </c>
      <c r="P99" s="3">
        <v>22409</v>
      </c>
      <c r="Q99" s="3">
        <v>23039</v>
      </c>
      <c r="R99" s="3">
        <v>23719</v>
      </c>
      <c r="S99" s="3">
        <v>21431</v>
      </c>
      <c r="T99" s="3">
        <v>22356</v>
      </c>
      <c r="U99" s="3">
        <v>36957</v>
      </c>
      <c r="V99" s="3">
        <v>41043</v>
      </c>
      <c r="W99" s="3">
        <v>34458</v>
      </c>
      <c r="X99" s="3">
        <v>59862</v>
      </c>
      <c r="Y99" s="3">
        <v>59710</v>
      </c>
      <c r="Z99" s="3">
        <v>104587</v>
      </c>
      <c r="AA99" s="3">
        <v>117575</v>
      </c>
      <c r="AB99" s="3">
        <v>123837</v>
      </c>
    </row>
    <row r="100" spans="1:33" ht="15" x14ac:dyDescent="0.25">
      <c r="A100" s="30">
        <v>2018</v>
      </c>
      <c r="B100" s="1" t="s">
        <v>111</v>
      </c>
      <c r="C100" s="31">
        <v>5477</v>
      </c>
      <c r="D100" s="31"/>
      <c r="E100" s="31">
        <v>593</v>
      </c>
      <c r="F100" s="31">
        <v>-50</v>
      </c>
      <c r="G100" s="31" t="s">
        <v>67</v>
      </c>
      <c r="H100" s="31" t="s">
        <v>67</v>
      </c>
      <c r="I100" s="31" t="s">
        <v>67</v>
      </c>
      <c r="J100" s="31">
        <v>-5</v>
      </c>
      <c r="K100" s="31">
        <f t="shared" si="39"/>
        <v>6015</v>
      </c>
      <c r="O100" s="1" t="s">
        <v>161</v>
      </c>
      <c r="P100" s="3">
        <v>7879</v>
      </c>
      <c r="Q100" s="3">
        <v>8131</v>
      </c>
      <c r="R100" s="3">
        <v>8053</v>
      </c>
      <c r="S100" s="3">
        <v>8623</v>
      </c>
      <c r="T100" s="3">
        <v>8768</v>
      </c>
      <c r="U100" s="3">
        <v>8744</v>
      </c>
      <c r="V100" s="3">
        <v>8426</v>
      </c>
      <c r="W100" s="3">
        <v>10025</v>
      </c>
      <c r="X100" s="3">
        <v>13625</v>
      </c>
      <c r="Y100" s="3">
        <v>16110</v>
      </c>
      <c r="Z100" s="3">
        <v>20224</v>
      </c>
      <c r="AA100" s="3">
        <v>25855</v>
      </c>
      <c r="AB100" s="3">
        <v>29100</v>
      </c>
    </row>
    <row r="101" spans="1:33" ht="15" x14ac:dyDescent="0.25">
      <c r="A101" s="30">
        <v>2018</v>
      </c>
      <c r="B101" s="1" t="s">
        <v>159</v>
      </c>
      <c r="C101" s="31"/>
      <c r="D101" s="31"/>
      <c r="E101" s="31"/>
      <c r="F101" s="31"/>
      <c r="G101" s="31"/>
      <c r="H101" s="31"/>
      <c r="I101" s="31"/>
      <c r="J101" s="31"/>
      <c r="K101" s="31"/>
      <c r="O101" s="1" t="s">
        <v>160</v>
      </c>
      <c r="P101" s="3">
        <v>6850</v>
      </c>
      <c r="Q101" s="3">
        <v>7902</v>
      </c>
      <c r="R101" s="3">
        <v>7948</v>
      </c>
      <c r="S101" s="3">
        <v>7553</v>
      </c>
      <c r="T101" s="3">
        <v>7685</v>
      </c>
      <c r="U101" s="3">
        <v>10187</v>
      </c>
      <c r="V101" s="3">
        <v>14756</v>
      </c>
      <c r="W101" s="3">
        <v>19967</v>
      </c>
      <c r="X101" s="3">
        <v>30225</v>
      </c>
      <c r="Y101" s="3">
        <v>35796</v>
      </c>
      <c r="Z101" s="3">
        <v>41837</v>
      </c>
      <c r="AA101" s="3">
        <v>41139</v>
      </c>
      <c r="AB101" s="3">
        <v>35871</v>
      </c>
    </row>
    <row r="102" spans="1:33" ht="15" x14ac:dyDescent="0.25">
      <c r="A102" s="30">
        <v>2018</v>
      </c>
      <c r="B102" s="1" t="s">
        <v>158</v>
      </c>
      <c r="C102" s="31">
        <v>60065</v>
      </c>
      <c r="D102" s="31"/>
      <c r="E102" s="31">
        <v>72483</v>
      </c>
      <c r="F102" s="31">
        <v>-949</v>
      </c>
      <c r="G102" s="31">
        <v>-70653</v>
      </c>
      <c r="H102" s="31" t="s">
        <v>67</v>
      </c>
      <c r="I102" s="31" t="s">
        <v>67</v>
      </c>
      <c r="J102" s="31" t="s">
        <v>67</v>
      </c>
      <c r="K102" s="31">
        <f>SUM(C102:J102)</f>
        <v>60946</v>
      </c>
      <c r="O102" s="1" t="s">
        <v>111</v>
      </c>
      <c r="P102" s="3">
        <v>4936</v>
      </c>
      <c r="Q102" s="3">
        <v>5202</v>
      </c>
      <c r="R102" s="3">
        <v>5378</v>
      </c>
      <c r="S102" s="3">
        <v>5392</v>
      </c>
      <c r="T102" s="3">
        <v>5477</v>
      </c>
      <c r="U102" s="3">
        <v>6015</v>
      </c>
      <c r="V102" s="3">
        <v>6831</v>
      </c>
      <c r="W102" s="3">
        <v>7711</v>
      </c>
      <c r="X102" s="3">
        <v>8113</v>
      </c>
      <c r="Y102" s="3">
        <v>9354</v>
      </c>
      <c r="Z102" s="3">
        <v>10278</v>
      </c>
      <c r="AA102" s="3">
        <v>14950</v>
      </c>
      <c r="AB102" s="3">
        <v>18512</v>
      </c>
    </row>
    <row r="103" spans="1:33" ht="15" x14ac:dyDescent="0.25">
      <c r="A103" s="30">
        <v>2018</v>
      </c>
      <c r="B103" s="1" t="s">
        <v>157</v>
      </c>
      <c r="C103" s="31">
        <v>706</v>
      </c>
      <c r="D103" s="31"/>
      <c r="E103" s="31" t="s">
        <v>67</v>
      </c>
      <c r="F103" s="31" t="s">
        <v>67</v>
      </c>
      <c r="G103" s="31" t="s">
        <v>67</v>
      </c>
      <c r="H103" s="31" t="s">
        <v>67</v>
      </c>
      <c r="I103" s="31" t="s">
        <v>67</v>
      </c>
      <c r="J103" s="31">
        <v>-706</v>
      </c>
      <c r="K103" s="31">
        <f>SUM(C103:J103)</f>
        <v>0</v>
      </c>
      <c r="O103" s="1" t="s">
        <v>159</v>
      </c>
      <c r="P103" s="3">
        <v>5638</v>
      </c>
      <c r="Q103" s="3">
        <v>1645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</row>
    <row r="104" spans="1:33" ht="15" x14ac:dyDescent="0.25">
      <c r="A104" s="30">
        <v>2018</v>
      </c>
      <c r="B104" s="21" t="s">
        <v>150</v>
      </c>
      <c r="C104" s="29">
        <f t="shared" ref="C104:K104" si="40">SUM(C93:C103)</f>
        <v>2647977</v>
      </c>
      <c r="D104" s="29">
        <f t="shared" si="40"/>
        <v>0</v>
      </c>
      <c r="E104" s="29">
        <f t="shared" si="40"/>
        <v>267754</v>
      </c>
      <c r="F104" s="29">
        <f t="shared" si="40"/>
        <v>-14690</v>
      </c>
      <c r="G104" s="29">
        <f t="shared" si="40"/>
        <v>0</v>
      </c>
      <c r="H104" s="29">
        <f t="shared" si="40"/>
        <v>0</v>
      </c>
      <c r="I104" s="29">
        <f t="shared" si="40"/>
        <v>0</v>
      </c>
      <c r="J104" s="29">
        <f t="shared" si="40"/>
        <v>-116776</v>
      </c>
      <c r="K104" s="29">
        <f t="shared" si="40"/>
        <v>2784265</v>
      </c>
      <c r="L104" s="9"/>
      <c r="O104" s="1" t="s">
        <v>158</v>
      </c>
      <c r="P104" s="3">
        <v>36095</v>
      </c>
      <c r="Q104" s="3">
        <v>61613</v>
      </c>
      <c r="R104" s="3">
        <v>56797</v>
      </c>
      <c r="S104" s="3">
        <v>48139</v>
      </c>
      <c r="T104" s="3">
        <v>60065</v>
      </c>
      <c r="U104" s="3">
        <v>60946</v>
      </c>
      <c r="V104" s="3">
        <v>20031</v>
      </c>
      <c r="W104" s="3">
        <v>10833</v>
      </c>
      <c r="X104" s="3">
        <v>77011</v>
      </c>
      <c r="Y104" s="3">
        <v>90326</v>
      </c>
      <c r="Z104" s="3">
        <v>126288</v>
      </c>
      <c r="AA104" s="3">
        <v>280200</v>
      </c>
      <c r="AB104" s="3">
        <v>330010</v>
      </c>
    </row>
    <row r="105" spans="1:33" ht="15" x14ac:dyDescent="0.25">
      <c r="A105" s="17"/>
      <c r="C105" s="3"/>
      <c r="D105" s="3"/>
      <c r="E105" s="3"/>
      <c r="F105" s="3"/>
      <c r="G105" s="3"/>
      <c r="H105" s="3"/>
      <c r="I105" s="3"/>
      <c r="J105" s="3"/>
      <c r="K105" s="3"/>
      <c r="O105" s="1" t="s">
        <v>157</v>
      </c>
      <c r="P105" s="3">
        <v>0</v>
      </c>
      <c r="Q105" s="3">
        <v>0</v>
      </c>
      <c r="R105" s="3">
        <v>4239</v>
      </c>
      <c r="S105" s="3">
        <v>2120</v>
      </c>
      <c r="T105" s="3">
        <v>706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</row>
    <row r="106" spans="1:33" ht="15" x14ac:dyDescent="0.25">
      <c r="A106" s="30">
        <v>2017</v>
      </c>
      <c r="B106" s="1" t="s">
        <v>166</v>
      </c>
      <c r="C106" s="31">
        <v>1820821</v>
      </c>
      <c r="D106" s="31"/>
      <c r="E106" s="31">
        <v>4400</v>
      </c>
      <c r="F106" s="31">
        <f>-84536</f>
        <v>-84536</v>
      </c>
      <c r="G106" s="31" t="s">
        <v>67</v>
      </c>
      <c r="H106" s="31">
        <v>16881</v>
      </c>
      <c r="I106" s="31" t="s">
        <v>67</v>
      </c>
      <c r="J106" s="31" t="s">
        <v>67</v>
      </c>
      <c r="K106" s="31">
        <f t="shared" ref="K106:K113" si="41">SUM(C106:J106)</f>
        <v>1757566</v>
      </c>
      <c r="O106" s="21" t="s">
        <v>150</v>
      </c>
      <c r="P106" s="25">
        <v>2685343</v>
      </c>
      <c r="Q106" s="25">
        <v>2747811</v>
      </c>
      <c r="R106" s="25">
        <v>2764677</v>
      </c>
      <c r="S106" s="25">
        <v>2686064</v>
      </c>
      <c r="T106" s="25">
        <v>2647977</v>
      </c>
      <c r="U106" s="25">
        <v>2784265</v>
      </c>
      <c r="V106" s="25">
        <v>2878993</v>
      </c>
      <c r="W106" s="25">
        <v>2944444</v>
      </c>
      <c r="X106" s="25">
        <v>3398063</v>
      </c>
      <c r="Y106" s="25">
        <v>3733112</v>
      </c>
      <c r="Z106" s="25">
        <v>4395692</v>
      </c>
      <c r="AA106" s="25">
        <v>5417528</v>
      </c>
      <c r="AB106" s="25">
        <v>7111885</v>
      </c>
      <c r="AC106" s="25">
        <f>AB106+AC118+AC138-AC33</f>
        <v>7416882.9520000005</v>
      </c>
      <c r="AD106" s="25">
        <f t="shared" ref="AD106:AG106" si="42">AC106+AD118+AD138-AD33</f>
        <v>7740166.5794799998</v>
      </c>
      <c r="AE106" s="25">
        <f t="shared" si="42"/>
        <v>8082468.0195412003</v>
      </c>
      <c r="AF106" s="25">
        <f t="shared" si="42"/>
        <v>8444566.944940228</v>
      </c>
      <c r="AG106" s="25">
        <f t="shared" si="42"/>
        <v>8658774.5122575592</v>
      </c>
    </row>
    <row r="107" spans="1:33" ht="15" x14ac:dyDescent="0.25">
      <c r="A107" s="30">
        <v>2017</v>
      </c>
      <c r="B107" s="1" t="s">
        <v>165</v>
      </c>
      <c r="C107" s="31">
        <v>185044</v>
      </c>
      <c r="D107" s="31"/>
      <c r="E107" s="31">
        <v>32027</v>
      </c>
      <c r="F107" s="31">
        <f>-219+44</f>
        <v>-175</v>
      </c>
      <c r="G107" s="31" t="s">
        <v>67</v>
      </c>
      <c r="H107" s="31" t="s">
        <v>67</v>
      </c>
      <c r="I107" s="31" t="s">
        <v>67</v>
      </c>
      <c r="J107" s="31">
        <v>-28939</v>
      </c>
      <c r="K107" s="31">
        <f t="shared" si="41"/>
        <v>187957</v>
      </c>
    </row>
    <row r="108" spans="1:33" ht="15" x14ac:dyDescent="0.25">
      <c r="A108" s="30">
        <v>2017</v>
      </c>
      <c r="B108" s="1" t="s">
        <v>164</v>
      </c>
      <c r="C108" s="31">
        <v>224651</v>
      </c>
      <c r="D108" s="31"/>
      <c r="E108" s="31">
        <v>1779</v>
      </c>
      <c r="F108" s="31">
        <v>-847</v>
      </c>
      <c r="G108" s="31">
        <v>29239</v>
      </c>
      <c r="H108" s="31">
        <v>182</v>
      </c>
      <c r="I108" s="31" t="s">
        <v>67</v>
      </c>
      <c r="J108" s="31">
        <v>-9829</v>
      </c>
      <c r="K108" s="31">
        <f t="shared" si="41"/>
        <v>245175</v>
      </c>
    </row>
    <row r="109" spans="1:33" ht="15" x14ac:dyDescent="0.25">
      <c r="A109" s="30">
        <v>2017</v>
      </c>
      <c r="B109" s="1" t="s">
        <v>163</v>
      </c>
      <c r="C109" s="31">
        <v>362290</v>
      </c>
      <c r="D109" s="31"/>
      <c r="E109" s="31">
        <v>37060</v>
      </c>
      <c r="F109" s="31">
        <f>-18645+15593</f>
        <v>-3052</v>
      </c>
      <c r="G109" s="31">
        <v>6740</v>
      </c>
      <c r="H109" s="31">
        <v>-2350</v>
      </c>
      <c r="I109" s="31" t="s">
        <v>67</v>
      </c>
      <c r="J109" s="31">
        <v>-48466</v>
      </c>
      <c r="K109" s="31">
        <f t="shared" si="41"/>
        <v>352222</v>
      </c>
      <c r="O109" s="11" t="s">
        <v>294</v>
      </c>
    </row>
    <row r="110" spans="1:33" ht="15" x14ac:dyDescent="0.25">
      <c r="A110" s="30">
        <v>2017</v>
      </c>
      <c r="B110" s="1" t="s">
        <v>162</v>
      </c>
      <c r="C110" s="31">
        <v>21431</v>
      </c>
      <c r="D110" s="31"/>
      <c r="E110" s="32">
        <f>3440</f>
        <v>3440</v>
      </c>
      <c r="F110" s="31">
        <f>-1165+911</f>
        <v>-254</v>
      </c>
      <c r="G110" s="31">
        <v>14</v>
      </c>
      <c r="H110" s="31">
        <f>-270+255</f>
        <v>-15</v>
      </c>
      <c r="I110" s="31" t="s">
        <v>67</v>
      </c>
      <c r="J110" s="31">
        <v>-2260</v>
      </c>
      <c r="K110" s="31">
        <f t="shared" si="41"/>
        <v>22356</v>
      </c>
      <c r="L110" s="24"/>
      <c r="O110" s="1" t="s">
        <v>168</v>
      </c>
      <c r="P110" s="26">
        <v>0.01</v>
      </c>
    </row>
    <row r="111" spans="1:33" ht="15" x14ac:dyDescent="0.25">
      <c r="A111" s="30">
        <v>2017</v>
      </c>
      <c r="B111" s="1" t="s">
        <v>161</v>
      </c>
      <c r="C111" s="31">
        <v>8623</v>
      </c>
      <c r="D111" s="31"/>
      <c r="E111" s="32">
        <f>987</f>
        <v>987</v>
      </c>
      <c r="F111" s="31">
        <f>-584+281</f>
        <v>-303</v>
      </c>
      <c r="G111" s="31">
        <v>444</v>
      </c>
      <c r="H111" s="31" t="s">
        <v>67</v>
      </c>
      <c r="I111" s="31" t="s">
        <v>67</v>
      </c>
      <c r="J111" s="32">
        <v>-983</v>
      </c>
      <c r="K111" s="31">
        <f t="shared" si="41"/>
        <v>8768</v>
      </c>
    </row>
    <row r="112" spans="1:33" ht="15" x14ac:dyDescent="0.25">
      <c r="A112" s="30">
        <v>2017</v>
      </c>
      <c r="B112" s="1" t="s">
        <v>160</v>
      </c>
      <c r="C112" s="31">
        <v>7553</v>
      </c>
      <c r="D112" s="31"/>
      <c r="E112" s="31">
        <v>1907</v>
      </c>
      <c r="F112" s="31">
        <f>-523+374</f>
        <v>-149</v>
      </c>
      <c r="G112" s="31" t="s">
        <v>67</v>
      </c>
      <c r="H112" s="31" t="s">
        <v>67</v>
      </c>
      <c r="I112" s="31" t="s">
        <v>67</v>
      </c>
      <c r="J112" s="31">
        <v>-1626</v>
      </c>
      <c r="K112" s="31">
        <f t="shared" si="41"/>
        <v>7685</v>
      </c>
      <c r="O112" s="1" t="s">
        <v>165</v>
      </c>
      <c r="P112" s="3">
        <f t="shared" ref="P112:AB112" si="43">(P71*-1+$P$110)*(P82+(P3/2))</f>
        <v>49543.7</v>
      </c>
      <c r="Q112" s="3">
        <f t="shared" si="43"/>
        <v>36430.095000000001</v>
      </c>
      <c r="R112" s="3">
        <f t="shared" si="43"/>
        <v>37329.72</v>
      </c>
      <c r="S112" s="3">
        <f t="shared" si="43"/>
        <v>32781.635000000002</v>
      </c>
      <c r="T112" s="3">
        <f t="shared" si="43"/>
        <v>30949.575000000004</v>
      </c>
      <c r="U112" s="3">
        <f t="shared" si="43"/>
        <v>30880.695</v>
      </c>
      <c r="V112" s="3">
        <f t="shared" si="43"/>
        <v>30553.764999999999</v>
      </c>
      <c r="W112" s="3">
        <f t="shared" si="43"/>
        <v>36780.61</v>
      </c>
      <c r="X112" s="3">
        <f t="shared" si="43"/>
        <v>52124.070000000007</v>
      </c>
      <c r="Y112" s="3">
        <f t="shared" si="43"/>
        <v>76578.5</v>
      </c>
      <c r="Z112" s="3">
        <f t="shared" si="43"/>
        <v>104697.42000000001</v>
      </c>
      <c r="AA112" s="3">
        <f t="shared" si="43"/>
        <v>129015.26500000001</v>
      </c>
      <c r="AB112" s="3">
        <f t="shared" si="43"/>
        <v>164734.98499999999</v>
      </c>
    </row>
    <row r="113" spans="1:33" ht="15" x14ac:dyDescent="0.25">
      <c r="A113" s="30">
        <v>2017</v>
      </c>
      <c r="B113" s="1" t="s">
        <v>111</v>
      </c>
      <c r="C113" s="31">
        <v>5392</v>
      </c>
      <c r="D113" s="31"/>
      <c r="E113" s="31">
        <v>213</v>
      </c>
      <c r="F113" s="31">
        <v>-128</v>
      </c>
      <c r="G113" s="31" t="s">
        <v>67</v>
      </c>
      <c r="H113" s="31" t="s">
        <v>67</v>
      </c>
      <c r="I113" s="31" t="s">
        <v>67</v>
      </c>
      <c r="J113" s="31" t="s">
        <v>67</v>
      </c>
      <c r="K113" s="31">
        <f t="shared" si="41"/>
        <v>5477</v>
      </c>
      <c r="O113" s="1" t="s">
        <v>164</v>
      </c>
      <c r="P113" s="3">
        <f t="shared" ref="P113:AB113" si="44">(P72*-1+$P$110)*(P83+(P4/2))</f>
        <v>6792.9449999999997</v>
      </c>
      <c r="Q113" s="3">
        <f t="shared" si="44"/>
        <v>8528.2000000000007</v>
      </c>
      <c r="R113" s="3">
        <f t="shared" si="44"/>
        <v>9509.0750000000007</v>
      </c>
      <c r="S113" s="3">
        <f t="shared" si="44"/>
        <v>10389.630000000001</v>
      </c>
      <c r="T113" s="3">
        <f t="shared" si="44"/>
        <v>12084.405000000001</v>
      </c>
      <c r="U113" s="3">
        <f t="shared" si="44"/>
        <v>18188.404999999999</v>
      </c>
      <c r="V113" s="3">
        <f t="shared" si="44"/>
        <v>20510.105</v>
      </c>
      <c r="W113" s="3">
        <f t="shared" si="44"/>
        <v>23959.705000000002</v>
      </c>
      <c r="X113" s="3">
        <f t="shared" si="44"/>
        <v>25198.42</v>
      </c>
      <c r="Y113" s="3">
        <f t="shared" si="44"/>
        <v>26014.880000000001</v>
      </c>
      <c r="Z113" s="3">
        <f t="shared" si="44"/>
        <v>33920.979999999996</v>
      </c>
      <c r="AA113" s="3">
        <f t="shared" si="44"/>
        <v>36232.684999999998</v>
      </c>
      <c r="AB113" s="3">
        <f t="shared" si="44"/>
        <v>45820.71</v>
      </c>
    </row>
    <row r="114" spans="1:33" ht="15" x14ac:dyDescent="0.25">
      <c r="A114" s="30">
        <v>2017</v>
      </c>
      <c r="B114" s="1" t="s">
        <v>159</v>
      </c>
      <c r="C114" s="31"/>
      <c r="D114" s="31"/>
      <c r="E114" s="31"/>
      <c r="F114" s="31"/>
      <c r="G114" s="31"/>
      <c r="H114" s="31"/>
      <c r="I114" s="31"/>
      <c r="J114" s="31"/>
      <c r="K114" s="31"/>
      <c r="O114" s="1" t="s">
        <v>163</v>
      </c>
      <c r="P114" s="3">
        <f t="shared" ref="P114:AB114" si="45">(P73*-1+$P$110)*(P84+(P5/2))</f>
        <v>51141.564999999995</v>
      </c>
      <c r="Q114" s="3">
        <f t="shared" si="45"/>
        <v>60397.805000000008</v>
      </c>
      <c r="R114" s="3">
        <f t="shared" si="45"/>
        <v>58438.004999999997</v>
      </c>
      <c r="S114" s="3">
        <f t="shared" si="45"/>
        <v>54883.244999999995</v>
      </c>
      <c r="T114" s="3">
        <f t="shared" si="45"/>
        <v>52274.200000000004</v>
      </c>
      <c r="U114" s="3">
        <f t="shared" si="45"/>
        <v>68253.065000000002</v>
      </c>
      <c r="V114" s="3">
        <f t="shared" si="45"/>
        <v>65766.854999999996</v>
      </c>
      <c r="W114" s="3">
        <f t="shared" si="45"/>
        <v>73450.490000000005</v>
      </c>
      <c r="X114" s="3">
        <f t="shared" si="45"/>
        <v>96166.670000000013</v>
      </c>
      <c r="Y114" s="3">
        <f t="shared" si="45"/>
        <v>113901.71</v>
      </c>
      <c r="Z114" s="3">
        <f t="shared" si="45"/>
        <v>132703.91</v>
      </c>
      <c r="AA114" s="3">
        <f t="shared" si="45"/>
        <v>140768.98000000001</v>
      </c>
      <c r="AB114" s="3">
        <f t="shared" si="45"/>
        <v>136437.9</v>
      </c>
    </row>
    <row r="115" spans="1:33" ht="15" x14ac:dyDescent="0.25">
      <c r="A115" s="30">
        <v>2017</v>
      </c>
      <c r="B115" s="1" t="s">
        <v>158</v>
      </c>
      <c r="C115" s="31">
        <v>48139</v>
      </c>
      <c r="D115" s="31"/>
      <c r="E115" s="31">
        <v>48641</v>
      </c>
      <c r="F115" s="31">
        <v>-96</v>
      </c>
      <c r="G115" s="31">
        <v>-36437</v>
      </c>
      <c r="H115" s="31">
        <v>-182</v>
      </c>
      <c r="I115" s="31" t="s">
        <v>67</v>
      </c>
      <c r="J115" s="31" t="s">
        <v>67</v>
      </c>
      <c r="K115" s="31">
        <f>SUM(C115:J115)</f>
        <v>60065</v>
      </c>
      <c r="O115" s="1" t="s">
        <v>162</v>
      </c>
      <c r="P115" s="3">
        <f t="shared" ref="P115:AB115" si="46">(P74*-1+$P$110)*(P85+(P6/2))</f>
        <v>2088.52</v>
      </c>
      <c r="Q115" s="3">
        <f t="shared" si="46"/>
        <v>2574.37</v>
      </c>
      <c r="R115" s="3">
        <f t="shared" si="46"/>
        <v>2508.9499999999998</v>
      </c>
      <c r="S115" s="3">
        <f t="shared" si="46"/>
        <v>3361.3200000000006</v>
      </c>
      <c r="T115" s="3">
        <f t="shared" si="46"/>
        <v>2491.5099999999998</v>
      </c>
      <c r="U115" s="3">
        <f t="shared" si="46"/>
        <v>4560.1350000000002</v>
      </c>
      <c r="V115" s="3">
        <f t="shared" si="46"/>
        <v>6247.34</v>
      </c>
      <c r="W115" s="3">
        <f t="shared" si="46"/>
        <v>6032.6100000000006</v>
      </c>
      <c r="X115" s="3">
        <f t="shared" si="46"/>
        <v>8770.9349999999995</v>
      </c>
      <c r="Y115" s="3">
        <f t="shared" si="46"/>
        <v>7337.6049999999996</v>
      </c>
      <c r="Z115" s="3">
        <f t="shared" si="46"/>
        <v>9714.1949999999997</v>
      </c>
      <c r="AA115" s="3">
        <f t="shared" si="46"/>
        <v>11451.504999999999</v>
      </c>
      <c r="AB115" s="3">
        <f t="shared" si="46"/>
        <v>11680.999999999998</v>
      </c>
    </row>
    <row r="116" spans="1:33" ht="15" x14ac:dyDescent="0.25">
      <c r="A116" s="30">
        <v>2017</v>
      </c>
      <c r="B116" s="1" t="s">
        <v>157</v>
      </c>
      <c r="C116" s="31">
        <v>2120</v>
      </c>
      <c r="D116" s="31"/>
      <c r="E116" s="31" t="s">
        <v>67</v>
      </c>
      <c r="F116" s="31" t="s">
        <v>67</v>
      </c>
      <c r="G116" s="31" t="s">
        <v>67</v>
      </c>
      <c r="H116" s="31" t="s">
        <v>67</v>
      </c>
      <c r="I116" s="31" t="s">
        <v>67</v>
      </c>
      <c r="J116" s="31">
        <v>-1414</v>
      </c>
      <c r="K116" s="31">
        <f>SUM(C116:J116)</f>
        <v>706</v>
      </c>
      <c r="O116" s="1" t="s">
        <v>161</v>
      </c>
      <c r="P116" s="3">
        <f t="shared" ref="P116:AB116" si="47">(P75*-1+$P$110)*(P86+(P7/2))</f>
        <v>982.90499999999997</v>
      </c>
      <c r="Q116" s="3">
        <f t="shared" si="47"/>
        <v>868.09999999999991</v>
      </c>
      <c r="R116" s="3">
        <f t="shared" si="47"/>
        <v>885.81999999999994</v>
      </c>
      <c r="S116" s="3">
        <f t="shared" si="47"/>
        <v>925.94999999999993</v>
      </c>
      <c r="T116" s="3">
        <f t="shared" si="47"/>
        <v>1074.165</v>
      </c>
      <c r="U116" s="3">
        <f t="shared" si="47"/>
        <v>1220.6849999999999</v>
      </c>
      <c r="V116" s="3">
        <f t="shared" si="47"/>
        <v>1314.1850000000002</v>
      </c>
      <c r="W116" s="3">
        <f t="shared" si="47"/>
        <v>1510.425</v>
      </c>
      <c r="X116" s="3">
        <f t="shared" si="47"/>
        <v>2002.3300000000002</v>
      </c>
      <c r="Y116" s="3">
        <f t="shared" si="47"/>
        <v>2362.8000000000002</v>
      </c>
      <c r="Z116" s="3">
        <f t="shared" si="47"/>
        <v>2777.5200000000004</v>
      </c>
      <c r="AA116" s="3">
        <f t="shared" si="47"/>
        <v>3376.2900000000004</v>
      </c>
      <c r="AB116" s="3">
        <f t="shared" si="47"/>
        <v>4206.3700000000008</v>
      </c>
    </row>
    <row r="117" spans="1:33" ht="15" x14ac:dyDescent="0.25">
      <c r="A117" s="30">
        <v>2017</v>
      </c>
      <c r="B117" s="21" t="s">
        <v>150</v>
      </c>
      <c r="C117" s="29">
        <f t="shared" ref="C117:K117" si="48">SUM(C106:C116)</f>
        <v>2686064</v>
      </c>
      <c r="D117" s="29">
        <f t="shared" si="48"/>
        <v>0</v>
      </c>
      <c r="E117" s="29">
        <f t="shared" si="48"/>
        <v>130454</v>
      </c>
      <c r="F117" s="29">
        <f t="shared" si="48"/>
        <v>-89540</v>
      </c>
      <c r="G117" s="29">
        <f t="shared" si="48"/>
        <v>0</v>
      </c>
      <c r="H117" s="29">
        <f t="shared" si="48"/>
        <v>14516</v>
      </c>
      <c r="I117" s="29">
        <f t="shared" si="48"/>
        <v>0</v>
      </c>
      <c r="J117" s="29">
        <f t="shared" si="48"/>
        <v>-93517</v>
      </c>
      <c r="K117" s="29">
        <f t="shared" si="48"/>
        <v>2647977</v>
      </c>
      <c r="L117" s="9"/>
      <c r="O117" s="1" t="s">
        <v>160</v>
      </c>
      <c r="P117" s="3">
        <f t="shared" ref="P117:AB117" si="49">(P76*-1+$P$110)*(P87+(P8/2))</f>
        <v>863.54000000000008</v>
      </c>
      <c r="Q117" s="3">
        <f t="shared" si="49"/>
        <v>1355.3200000000002</v>
      </c>
      <c r="R117" s="3">
        <f t="shared" si="49"/>
        <v>1632.7050000000002</v>
      </c>
      <c r="S117" s="3">
        <f t="shared" si="49"/>
        <v>1619.4750000000001</v>
      </c>
      <c r="T117" s="3">
        <f t="shared" si="49"/>
        <v>1711.0650000000001</v>
      </c>
      <c r="U117" s="3">
        <f t="shared" si="49"/>
        <v>2167.0100000000002</v>
      </c>
      <c r="V117" s="3">
        <f t="shared" si="49"/>
        <v>2649.7750000000001</v>
      </c>
      <c r="W117" s="3">
        <f t="shared" si="49"/>
        <v>3809.8750000000005</v>
      </c>
      <c r="X117" s="3">
        <f t="shared" si="49"/>
        <v>6436.9650000000001</v>
      </c>
      <c r="Y117" s="3">
        <f t="shared" si="49"/>
        <v>8897.2549999999992</v>
      </c>
      <c r="Z117" s="3">
        <f t="shared" si="49"/>
        <v>11603.725000000002</v>
      </c>
      <c r="AA117" s="3">
        <f t="shared" si="49"/>
        <v>13449.785000000002</v>
      </c>
      <c r="AB117" s="3">
        <f t="shared" si="49"/>
        <v>14106.795</v>
      </c>
    </row>
    <row r="118" spans="1:33" ht="15" x14ac:dyDescent="0.25">
      <c r="A118" s="17"/>
      <c r="C118" s="3"/>
      <c r="D118" s="3"/>
      <c r="E118" s="3"/>
      <c r="F118" s="3"/>
      <c r="G118" s="3"/>
      <c r="H118" s="3"/>
      <c r="I118" s="3"/>
      <c r="J118" s="3"/>
      <c r="K118" s="3"/>
      <c r="O118" s="21" t="s">
        <v>274</v>
      </c>
      <c r="P118" s="25">
        <f t="shared" ref="P118:AB118" si="50">SUM(P112:P117)</f>
        <v>111413.17499999999</v>
      </c>
      <c r="Q118" s="25">
        <f t="shared" si="50"/>
        <v>110153.89000000001</v>
      </c>
      <c r="R118" s="25">
        <f t="shared" si="50"/>
        <v>110304.27499999999</v>
      </c>
      <c r="S118" s="25">
        <f t="shared" si="50"/>
        <v>103961.255</v>
      </c>
      <c r="T118" s="25">
        <f t="shared" si="50"/>
        <v>100584.92</v>
      </c>
      <c r="U118" s="25">
        <f t="shared" si="50"/>
        <v>125269.995</v>
      </c>
      <c r="V118" s="25">
        <f t="shared" si="50"/>
        <v>127042.02499999998</v>
      </c>
      <c r="W118" s="25">
        <f t="shared" si="50"/>
        <v>145543.71499999997</v>
      </c>
      <c r="X118" s="25">
        <f t="shared" si="50"/>
        <v>190699.39</v>
      </c>
      <c r="Y118" s="25">
        <f t="shared" si="50"/>
        <v>235092.75000000003</v>
      </c>
      <c r="Z118" s="25">
        <f t="shared" si="50"/>
        <v>295417.75000000006</v>
      </c>
      <c r="AA118" s="25">
        <f t="shared" si="50"/>
        <v>334294.51</v>
      </c>
      <c r="AB118" s="25">
        <f t="shared" si="50"/>
        <v>376987.75999999995</v>
      </c>
      <c r="AC118" s="25">
        <f>AC121*'Planted Area'!O35</f>
        <v>385111.08</v>
      </c>
      <c r="AD118" s="25">
        <f>AD121*'Planted Area'!P35</f>
        <v>404366.63400000002</v>
      </c>
      <c r="AE118" s="25">
        <f>AE121*'Planted Area'!Q35</f>
        <v>424584.9657</v>
      </c>
      <c r="AF118" s="25">
        <f>AF121*'Planted Area'!R35</f>
        <v>445814.21398500004</v>
      </c>
      <c r="AG118" s="25">
        <f>AG121*'Planted Area'!S35</f>
        <v>468104.92468425003</v>
      </c>
    </row>
    <row r="119" spans="1:33" ht="15" x14ac:dyDescent="0.25">
      <c r="A119" s="30">
        <v>2016</v>
      </c>
      <c r="B119" s="1" t="s">
        <v>166</v>
      </c>
      <c r="C119" s="31">
        <v>1864703</v>
      </c>
      <c r="D119" s="31"/>
      <c r="E119" s="31">
        <v>2</v>
      </c>
      <c r="F119" s="31">
        <v>-1985</v>
      </c>
      <c r="G119" s="31" t="s">
        <v>67</v>
      </c>
      <c r="H119" s="31">
        <v>-41899</v>
      </c>
      <c r="I119" s="31" t="s">
        <v>67</v>
      </c>
      <c r="J119" s="31" t="s">
        <v>67</v>
      </c>
      <c r="K119" s="31">
        <f t="shared" ref="K119:K126" si="51">SUM(C119:J119)</f>
        <v>1820821</v>
      </c>
      <c r="O119" s="8" t="s">
        <v>295</v>
      </c>
      <c r="P119" s="15">
        <f t="shared" ref="P119:AB119" si="52">P118/P92</f>
        <v>4.2940885024923194E-2</v>
      </c>
      <c r="Q119" s="15">
        <f t="shared" si="52"/>
        <v>4.1020417131070415E-2</v>
      </c>
      <c r="R119" s="15">
        <f t="shared" si="52"/>
        <v>4.0057347333130211E-2</v>
      </c>
      <c r="S119" s="15">
        <f t="shared" si="52"/>
        <v>3.7603399963178338E-2</v>
      </c>
      <c r="T119" s="15">
        <f t="shared" si="52"/>
        <v>3.7446955843196586E-2</v>
      </c>
      <c r="U119" s="15">
        <f t="shared" si="52"/>
        <v>4.7307810830683195E-2</v>
      </c>
      <c r="V119" s="15">
        <f t="shared" si="52"/>
        <v>4.5628568042194249E-2</v>
      </c>
      <c r="W119" s="15">
        <f t="shared" si="52"/>
        <v>5.0553758628462966E-2</v>
      </c>
      <c r="X119" s="15">
        <f t="shared" si="52"/>
        <v>6.4765840342013645E-2</v>
      </c>
      <c r="Y119" s="15">
        <f t="shared" si="52"/>
        <v>6.9184341196734736E-2</v>
      </c>
      <c r="Z119" s="15">
        <f t="shared" si="52"/>
        <v>7.913444600644183E-2</v>
      </c>
      <c r="AA119" s="15">
        <f t="shared" si="52"/>
        <v>7.6050485338827203E-2</v>
      </c>
      <c r="AB119" s="15">
        <f t="shared" si="52"/>
        <v>6.9586674955810099E-2</v>
      </c>
    </row>
    <row r="120" spans="1:33" ht="15" x14ac:dyDescent="0.25">
      <c r="A120" s="30">
        <v>2016</v>
      </c>
      <c r="B120" s="1" t="s">
        <v>165</v>
      </c>
      <c r="C120" s="31">
        <v>193944</v>
      </c>
      <c r="D120" s="31"/>
      <c r="E120" s="31">
        <v>26439</v>
      </c>
      <c r="F120" s="31">
        <v>-3111</v>
      </c>
      <c r="G120" s="31" t="s">
        <v>67</v>
      </c>
      <c r="H120" s="31">
        <v>-1518</v>
      </c>
      <c r="I120" s="31" t="s">
        <v>67</v>
      </c>
      <c r="J120" s="31">
        <v>-30710</v>
      </c>
      <c r="K120" s="31">
        <f t="shared" si="51"/>
        <v>185044</v>
      </c>
      <c r="O120" s="26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 spans="1:33" ht="15" x14ac:dyDescent="0.25">
      <c r="A121" s="30">
        <v>2016</v>
      </c>
      <c r="B121" s="1" t="s">
        <v>164</v>
      </c>
      <c r="C121" s="31">
        <v>205511</v>
      </c>
      <c r="D121" s="31"/>
      <c r="E121" s="31">
        <v>104</v>
      </c>
      <c r="F121" s="31">
        <f>-8+3</f>
        <v>-5</v>
      </c>
      <c r="G121" s="31">
        <v>27370</v>
      </c>
      <c r="H121" s="31">
        <v>5</v>
      </c>
      <c r="I121" s="31" t="s">
        <v>67</v>
      </c>
      <c r="J121" s="31">
        <v>-8334</v>
      </c>
      <c r="K121" s="31">
        <f t="shared" si="51"/>
        <v>224651</v>
      </c>
      <c r="O121" s="1" t="s">
        <v>296</v>
      </c>
      <c r="P121" s="27">
        <f>P118/'Planted Area'!B35</f>
        <v>0.32428274752014152</v>
      </c>
      <c r="Q121" s="27">
        <f>Q118/'Planted Area'!C35</f>
        <v>0.29769229729802776</v>
      </c>
      <c r="R121" s="27">
        <f>R118/'Planted Area'!D35</f>
        <v>0.29238496568652139</v>
      </c>
      <c r="S121" s="27">
        <f>S118/'Planted Area'!E35</f>
        <v>0.26458564189748068</v>
      </c>
      <c r="T121" s="27">
        <f>T118/'Planted Area'!F35</f>
        <v>0.24869802149112613</v>
      </c>
      <c r="U121" s="27">
        <f>U118/'Planted Area'!G35</f>
        <v>0.2734561634057267</v>
      </c>
      <c r="V121" s="27">
        <f>V118/'Planted Area'!H35</f>
        <v>0.28321687012894364</v>
      </c>
      <c r="W121" s="27">
        <f>W118/'Planted Area'!I35</f>
        <v>0.31423593433901803</v>
      </c>
      <c r="X121" s="27">
        <f>X118/'Planted Area'!J35</f>
        <v>0.28380165965717485</v>
      </c>
      <c r="Y121" s="27">
        <f>Y118/'Planted Area'!K35</f>
        <v>0.34860393682218099</v>
      </c>
      <c r="Z121" s="27">
        <f>Z118/'Planted Area'!L35</f>
        <v>0.44669369752155852</v>
      </c>
      <c r="AA121" s="27">
        <f>AA118/'Planted Area'!M35</f>
        <v>0.45426189722342636</v>
      </c>
      <c r="AB121" s="27">
        <f>AB118/'Planted Area'!N35</f>
        <v>0.45029701456525212</v>
      </c>
      <c r="AC121" s="12">
        <f>DCF!B12</f>
        <v>0.4</v>
      </c>
      <c r="AD121" s="12">
        <f>DCF!C12</f>
        <v>0.4</v>
      </c>
      <c r="AE121" s="12">
        <f>DCF!D12</f>
        <v>0.4</v>
      </c>
      <c r="AF121" s="12">
        <f>DCF!E12</f>
        <v>0.4</v>
      </c>
      <c r="AG121" s="12">
        <f>DCF!F12</f>
        <v>0.4</v>
      </c>
    </row>
    <row r="122" spans="1:33" ht="15" x14ac:dyDescent="0.25">
      <c r="A122" s="30">
        <v>2016</v>
      </c>
      <c r="B122" s="1" t="s">
        <v>163</v>
      </c>
      <c r="C122" s="31">
        <v>394385</v>
      </c>
      <c r="D122" s="31"/>
      <c r="E122" s="31">
        <v>25879</v>
      </c>
      <c r="F122" s="31">
        <f>-21501+14337</f>
        <v>-7164</v>
      </c>
      <c r="G122" s="31" t="s">
        <v>67</v>
      </c>
      <c r="H122" s="31" t="s">
        <v>67</v>
      </c>
      <c r="I122" s="31" t="s">
        <v>67</v>
      </c>
      <c r="J122" s="31">
        <v>-50810</v>
      </c>
      <c r="K122" s="31">
        <f t="shared" si="51"/>
        <v>362290</v>
      </c>
      <c r="O122" s="8" t="s">
        <v>65</v>
      </c>
      <c r="P122" s="45">
        <f>MEDIAN(P121:AB121)</f>
        <v>0.29769229729802776</v>
      </c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spans="1:33" ht="15" x14ac:dyDescent="0.25">
      <c r="A123" s="30">
        <v>2016</v>
      </c>
      <c r="B123" s="1" t="s">
        <v>162</v>
      </c>
      <c r="C123" s="31">
        <v>23719</v>
      </c>
      <c r="D123" s="31"/>
      <c r="E123" s="31">
        <v>1026</v>
      </c>
      <c r="F123" s="31">
        <f>-1312+1117</f>
        <v>-195</v>
      </c>
      <c r="G123" s="31" t="s">
        <v>67</v>
      </c>
      <c r="H123" s="31" t="s">
        <v>67</v>
      </c>
      <c r="I123" s="31" t="s">
        <v>67</v>
      </c>
      <c r="J123" s="31">
        <v>-3119</v>
      </c>
      <c r="K123" s="31">
        <f t="shared" si="51"/>
        <v>21431</v>
      </c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spans="1:33" ht="15" x14ac:dyDescent="0.25">
      <c r="A124" s="30">
        <v>2016</v>
      </c>
      <c r="B124" s="1" t="s">
        <v>161</v>
      </c>
      <c r="C124" s="31">
        <v>8053</v>
      </c>
      <c r="D124" s="31"/>
      <c r="E124" s="31">
        <v>1484</v>
      </c>
      <c r="F124" s="31">
        <f>-241+165</f>
        <v>-76</v>
      </c>
      <c r="G124" s="31" t="s">
        <v>67</v>
      </c>
      <c r="H124" s="31" t="s">
        <v>67</v>
      </c>
      <c r="I124" s="31" t="s">
        <v>67</v>
      </c>
      <c r="J124" s="31">
        <v>-838</v>
      </c>
      <c r="K124" s="31">
        <f t="shared" si="51"/>
        <v>8623</v>
      </c>
    </row>
    <row r="125" spans="1:33" ht="15" x14ac:dyDescent="0.25">
      <c r="A125" s="30">
        <v>2016</v>
      </c>
      <c r="B125" s="1" t="s">
        <v>160</v>
      </c>
      <c r="C125" s="31">
        <v>7948</v>
      </c>
      <c r="D125" s="31"/>
      <c r="E125" s="31">
        <v>1199</v>
      </c>
      <c r="F125" s="31">
        <f>-221+161</f>
        <v>-60</v>
      </c>
      <c r="G125" s="31" t="s">
        <v>67</v>
      </c>
      <c r="H125" s="31" t="s">
        <v>67</v>
      </c>
      <c r="I125" s="31" t="s">
        <v>67</v>
      </c>
      <c r="J125" s="31">
        <v>-1534</v>
      </c>
      <c r="K125" s="31">
        <f t="shared" si="51"/>
        <v>7553</v>
      </c>
      <c r="O125" s="11" t="s">
        <v>167</v>
      </c>
      <c r="P125" s="23" cm="1">
        <f t="array" ref="P125:AB125">P33:AB33</f>
        <v>-103269</v>
      </c>
      <c r="Q125" s="23">
        <v>-101647</v>
      </c>
      <c r="R125" s="23">
        <v>-101609</v>
      </c>
      <c r="S125" s="23">
        <v>-97578</v>
      </c>
      <c r="T125" s="23">
        <v>-93517</v>
      </c>
      <c r="U125" s="23">
        <v>-116776</v>
      </c>
      <c r="V125" s="23">
        <v>-116595</v>
      </c>
      <c r="W125" s="23">
        <v>-133348</v>
      </c>
      <c r="X125" s="23">
        <v>-176981</v>
      </c>
      <c r="Y125" s="23">
        <v>-217073</v>
      </c>
      <c r="Z125" s="23">
        <v>-274400</v>
      </c>
      <c r="AA125" s="23">
        <v>-309799</v>
      </c>
      <c r="AB125" s="23">
        <v>-348045</v>
      </c>
    </row>
    <row r="126" spans="1:33" ht="15" x14ac:dyDescent="0.25">
      <c r="A126" s="30">
        <v>2016</v>
      </c>
      <c r="B126" s="1" t="s">
        <v>111</v>
      </c>
      <c r="C126" s="31">
        <v>5378</v>
      </c>
      <c r="D126" s="31"/>
      <c r="E126" s="31">
        <v>149</v>
      </c>
      <c r="F126" s="31">
        <v>-21</v>
      </c>
      <c r="G126" s="31" t="s">
        <v>67</v>
      </c>
      <c r="H126" s="31" t="s">
        <v>67</v>
      </c>
      <c r="I126" s="31" t="s">
        <v>67</v>
      </c>
      <c r="J126" s="31">
        <v>-114</v>
      </c>
      <c r="K126" s="31">
        <f t="shared" si="51"/>
        <v>5392</v>
      </c>
      <c r="O126" s="8" t="s">
        <v>295</v>
      </c>
      <c r="P126" s="15">
        <f t="shared" ref="P126:AB126" si="53">P125/P92</f>
        <v>-3.9801955699034636E-2</v>
      </c>
      <c r="Q126" s="15">
        <f t="shared" si="53"/>
        <v>-3.7852520143609215E-2</v>
      </c>
      <c r="R126" s="15">
        <f t="shared" si="53"/>
        <v>-3.6899630636908924E-2</v>
      </c>
      <c r="S126" s="15">
        <f t="shared" si="53"/>
        <v>-3.5294538928055612E-2</v>
      </c>
      <c r="T126" s="15">
        <f t="shared" si="53"/>
        <v>-3.4815626135490441E-2</v>
      </c>
      <c r="U126" s="15">
        <f t="shared" si="53"/>
        <v>-4.4100080929705958E-2</v>
      </c>
      <c r="V126" s="15">
        <f t="shared" si="53"/>
        <v>-4.18764018511169E-2</v>
      </c>
      <c r="W126" s="15">
        <f t="shared" si="53"/>
        <v>-4.6317648313348884E-2</v>
      </c>
      <c r="X126" s="15">
        <f t="shared" si="53"/>
        <v>-6.0106763789700195E-2</v>
      </c>
      <c r="Y126" s="15">
        <f t="shared" si="53"/>
        <v>-6.3881393605710074E-2</v>
      </c>
      <c r="Z126" s="15">
        <f t="shared" si="53"/>
        <v>-7.3504357758352817E-2</v>
      </c>
      <c r="AA126" s="15">
        <f t="shared" si="53"/>
        <v>-7.0477867876093225E-2</v>
      </c>
      <c r="AB126" s="15">
        <f t="shared" si="53"/>
        <v>-6.424424571501984E-2</v>
      </c>
    </row>
    <row r="127" spans="1:33" ht="15" x14ac:dyDescent="0.25">
      <c r="A127" s="30">
        <v>2016</v>
      </c>
      <c r="B127" s="1" t="s">
        <v>159</v>
      </c>
      <c r="C127" s="31"/>
      <c r="D127" s="31"/>
      <c r="E127" s="31"/>
      <c r="F127" s="31"/>
      <c r="G127" s="31"/>
      <c r="H127" s="31"/>
      <c r="I127" s="31"/>
      <c r="J127" s="31"/>
      <c r="K127" s="31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33" ht="15" x14ac:dyDescent="0.25">
      <c r="A128" s="30">
        <v>2016</v>
      </c>
      <c r="B128" s="1" t="s">
        <v>158</v>
      </c>
      <c r="C128" s="31">
        <v>56797</v>
      </c>
      <c r="D128" s="31"/>
      <c r="E128" s="31">
        <v>19725</v>
      </c>
      <c r="F128" s="31">
        <v>-1013</v>
      </c>
      <c r="G128" s="31">
        <v>-27370</v>
      </c>
      <c r="H128" s="31" t="s">
        <v>67</v>
      </c>
      <c r="I128" s="31" t="s">
        <v>67</v>
      </c>
      <c r="J128" s="31" t="s">
        <v>67</v>
      </c>
      <c r="K128" s="31">
        <f>SUM(C128:J128)</f>
        <v>48139</v>
      </c>
      <c r="O128" s="11"/>
      <c r="P128" s="3"/>
      <c r="Q128" s="3"/>
      <c r="R128" s="3"/>
      <c r="S128" s="3"/>
      <c r="T128" s="3"/>
      <c r="U128" s="3"/>
      <c r="V128" s="3"/>
      <c r="W128" s="3"/>
      <c r="X128" s="35"/>
      <c r="Y128" s="3"/>
      <c r="Z128" s="3"/>
      <c r="AA128" s="3"/>
      <c r="AB128" s="3"/>
    </row>
    <row r="129" spans="1:33" ht="15" x14ac:dyDescent="0.25">
      <c r="A129" s="30">
        <v>2016</v>
      </c>
      <c r="B129" s="1" t="s">
        <v>157</v>
      </c>
      <c r="C129" s="31">
        <v>4239</v>
      </c>
      <c r="D129" s="31"/>
      <c r="E129" s="31" t="s">
        <v>67</v>
      </c>
      <c r="F129" s="31" t="s">
        <v>67</v>
      </c>
      <c r="G129" s="31" t="s">
        <v>67</v>
      </c>
      <c r="H129" s="31" t="s">
        <v>67</v>
      </c>
      <c r="I129" s="31" t="s">
        <v>67</v>
      </c>
      <c r="J129" s="31">
        <v>-2119</v>
      </c>
      <c r="K129" s="31">
        <f>SUM(C129:J129)</f>
        <v>2120</v>
      </c>
      <c r="O129" s="34" t="s">
        <v>275</v>
      </c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33" x14ac:dyDescent="0.2">
      <c r="A130" s="30">
        <v>2016</v>
      </c>
      <c r="B130" s="21" t="s">
        <v>150</v>
      </c>
      <c r="C130" s="29">
        <f t="shared" ref="C130:K130" si="54">SUM(C119:C129)</f>
        <v>2764677</v>
      </c>
      <c r="D130" s="29">
        <f t="shared" si="54"/>
        <v>0</v>
      </c>
      <c r="E130" s="29">
        <f t="shared" si="54"/>
        <v>76007</v>
      </c>
      <c r="F130" s="29">
        <f t="shared" si="54"/>
        <v>-13630</v>
      </c>
      <c r="G130" s="29">
        <f t="shared" si="54"/>
        <v>0</v>
      </c>
      <c r="H130" s="29">
        <f t="shared" si="54"/>
        <v>-43412</v>
      </c>
      <c r="I130" s="29">
        <f t="shared" si="54"/>
        <v>0</v>
      </c>
      <c r="J130" s="29">
        <f t="shared" si="54"/>
        <v>-97578</v>
      </c>
      <c r="K130" s="29">
        <f t="shared" si="54"/>
        <v>2686064</v>
      </c>
      <c r="L130" s="9"/>
      <c r="O130" s="1" t="s">
        <v>166</v>
      </c>
      <c r="P130" s="9">
        <f t="shared" ref="P130:AB130" si="55">P2</f>
        <v>53468</v>
      </c>
      <c r="Q130" s="9">
        <f t="shared" si="55"/>
        <v>1321</v>
      </c>
      <c r="R130" s="9">
        <f t="shared" si="55"/>
        <v>85579</v>
      </c>
      <c r="S130" s="9">
        <f t="shared" si="55"/>
        <v>2</v>
      </c>
      <c r="T130" s="9">
        <f t="shared" si="55"/>
        <v>4400</v>
      </c>
      <c r="U130" s="9">
        <f t="shared" si="55"/>
        <v>2005</v>
      </c>
      <c r="V130" s="9">
        <f t="shared" si="55"/>
        <v>3070</v>
      </c>
      <c r="W130" s="9">
        <f t="shared" si="55"/>
        <v>102</v>
      </c>
      <c r="X130" s="9">
        <f t="shared" si="55"/>
        <v>321</v>
      </c>
      <c r="Y130" s="9">
        <f t="shared" si="55"/>
        <v>185</v>
      </c>
      <c r="Z130" s="9">
        <f t="shared" si="55"/>
        <v>365705</v>
      </c>
      <c r="AA130" s="9">
        <f t="shared" si="55"/>
        <v>50910</v>
      </c>
      <c r="AB130" s="9">
        <f t="shared" si="55"/>
        <v>842051</v>
      </c>
    </row>
    <row r="131" spans="1:33" ht="15" x14ac:dyDescent="0.25">
      <c r="A131" s="17"/>
      <c r="C131" s="3"/>
      <c r="D131" s="3"/>
      <c r="E131" s="3"/>
      <c r="F131" s="3"/>
      <c r="G131" s="3"/>
      <c r="H131" s="3"/>
      <c r="I131" s="3"/>
      <c r="J131" s="3"/>
      <c r="K131" s="3"/>
      <c r="O131" s="1" t="s">
        <v>165</v>
      </c>
      <c r="P131" s="9">
        <f t="shared" ref="P131:AB131" si="56">(P3-P112)</f>
        <v>14474.300000000003</v>
      </c>
      <c r="Q131" s="9">
        <f t="shared" si="56"/>
        <v>39772.904999999999</v>
      </c>
      <c r="R131" s="9">
        <f t="shared" si="56"/>
        <v>-1815.7200000000012</v>
      </c>
      <c r="S131" s="9">
        <f t="shared" si="56"/>
        <v>-6342.635000000002</v>
      </c>
      <c r="T131" s="9">
        <f t="shared" si="56"/>
        <v>1077.4249999999956</v>
      </c>
      <c r="U131" s="9">
        <f t="shared" si="56"/>
        <v>17344.305</v>
      </c>
      <c r="V131" s="9">
        <f t="shared" si="56"/>
        <v>15849.235000000001</v>
      </c>
      <c r="W131" s="9">
        <f t="shared" si="56"/>
        <v>39385.39</v>
      </c>
      <c r="X131" s="9">
        <f t="shared" si="56"/>
        <v>101247.93</v>
      </c>
      <c r="Y131" s="9">
        <f t="shared" si="56"/>
        <v>110749.5</v>
      </c>
      <c r="Z131" s="9">
        <f t="shared" si="56"/>
        <v>93168.579999999987</v>
      </c>
      <c r="AA131" s="9">
        <f t="shared" si="56"/>
        <v>159395.73499999999</v>
      </c>
      <c r="AB131" s="9">
        <f t="shared" si="56"/>
        <v>140428.01500000001</v>
      </c>
    </row>
    <row r="132" spans="1:33" ht="15" x14ac:dyDescent="0.25">
      <c r="A132" s="30">
        <v>2015</v>
      </c>
      <c r="B132" s="1" t="s">
        <v>166</v>
      </c>
      <c r="C132" s="31">
        <v>1846737</v>
      </c>
      <c r="D132" s="31"/>
      <c r="E132" s="31">
        <v>85579</v>
      </c>
      <c r="F132" s="31" t="s">
        <v>67</v>
      </c>
      <c r="G132" s="31" t="s">
        <v>67</v>
      </c>
      <c r="H132" s="31">
        <v>-67613</v>
      </c>
      <c r="I132" s="31" t="s">
        <v>67</v>
      </c>
      <c r="J132" s="31" t="s">
        <v>67</v>
      </c>
      <c r="K132" s="31">
        <f t="shared" ref="K132:K142" si="57">SUM(C132:J132)</f>
        <v>1864703</v>
      </c>
      <c r="O132" s="1" t="s">
        <v>164</v>
      </c>
      <c r="P132" s="9">
        <f t="shared" ref="P132:AB132" si="58">(P4-P113)</f>
        <v>-6317.9449999999997</v>
      </c>
      <c r="Q132" s="9">
        <f t="shared" si="58"/>
        <v>-7848.2000000000007</v>
      </c>
      <c r="R132" s="9">
        <f t="shared" si="58"/>
        <v>-9308.0750000000007</v>
      </c>
      <c r="S132" s="9">
        <f t="shared" si="58"/>
        <v>-10285.630000000001</v>
      </c>
      <c r="T132" s="9">
        <f t="shared" si="58"/>
        <v>-10305.405000000001</v>
      </c>
      <c r="U132" s="9">
        <f t="shared" si="58"/>
        <v>-15257.404999999999</v>
      </c>
      <c r="V132" s="9">
        <f t="shared" si="58"/>
        <v>-18579.105</v>
      </c>
      <c r="W132" s="9">
        <f t="shared" si="58"/>
        <v>-22586.705000000002</v>
      </c>
      <c r="X132" s="9">
        <f t="shared" si="58"/>
        <v>-24138.42</v>
      </c>
      <c r="Y132" s="9">
        <f t="shared" si="58"/>
        <v>-23572.880000000001</v>
      </c>
      <c r="Z132" s="9">
        <f t="shared" si="58"/>
        <v>957.02000000000407</v>
      </c>
      <c r="AA132" s="9">
        <f t="shared" si="58"/>
        <v>-34623.684999999998</v>
      </c>
      <c r="AB132" s="9">
        <f t="shared" si="58"/>
        <v>-44854.71</v>
      </c>
    </row>
    <row r="133" spans="1:33" ht="15" x14ac:dyDescent="0.25">
      <c r="A133" s="30">
        <v>2015</v>
      </c>
      <c r="B133" s="1" t="s">
        <v>165</v>
      </c>
      <c r="C133" s="31">
        <v>198515</v>
      </c>
      <c r="D133" s="31"/>
      <c r="E133" s="31">
        <v>35514</v>
      </c>
      <c r="F133" s="31">
        <f>-880+6</f>
        <v>-874</v>
      </c>
      <c r="G133" s="31">
        <v>97</v>
      </c>
      <c r="H133" s="31">
        <f>-6883+2742</f>
        <v>-4141</v>
      </c>
      <c r="I133" s="31" t="s">
        <v>67</v>
      </c>
      <c r="J133" s="31">
        <v>-35167</v>
      </c>
      <c r="K133" s="31">
        <f t="shared" si="57"/>
        <v>193944</v>
      </c>
      <c r="L133" s="33"/>
      <c r="O133" s="1" t="s">
        <v>163</v>
      </c>
      <c r="P133" s="9">
        <f t="shared" ref="P133:AB133" si="59">(P5-P114)</f>
        <v>29611.435000000005</v>
      </c>
      <c r="Q133" s="9">
        <f t="shared" si="59"/>
        <v>-9106.8050000000076</v>
      </c>
      <c r="R133" s="9">
        <f t="shared" si="59"/>
        <v>-25677.004999999997</v>
      </c>
      <c r="S133" s="9">
        <f t="shared" si="59"/>
        <v>-29004.244999999995</v>
      </c>
      <c r="T133" s="9">
        <f t="shared" si="59"/>
        <v>-15214.200000000004</v>
      </c>
      <c r="U133" s="9">
        <f t="shared" si="59"/>
        <v>46715.934999999998</v>
      </c>
      <c r="V133" s="9">
        <f t="shared" si="59"/>
        <v>40332.145000000004</v>
      </c>
      <c r="W133" s="9">
        <f t="shared" si="59"/>
        <v>16215.509999999995</v>
      </c>
      <c r="X133" s="9">
        <f t="shared" si="59"/>
        <v>75585.329999999987</v>
      </c>
      <c r="Y133" s="9">
        <f t="shared" si="59"/>
        <v>116326.29</v>
      </c>
      <c r="Z133" s="9">
        <f t="shared" si="59"/>
        <v>1032.0899999999965</v>
      </c>
      <c r="AA133" s="9">
        <f t="shared" si="59"/>
        <v>27801.01999999999</v>
      </c>
      <c r="AB133" s="9">
        <f t="shared" si="59"/>
        <v>73074.100000000006</v>
      </c>
    </row>
    <row r="134" spans="1:33" ht="15" x14ac:dyDescent="0.25">
      <c r="A134" s="30">
        <v>2015</v>
      </c>
      <c r="B134" s="1" t="s">
        <v>164</v>
      </c>
      <c r="C134" s="31">
        <v>189807</v>
      </c>
      <c r="D134" s="31"/>
      <c r="E134" s="31">
        <v>201</v>
      </c>
      <c r="F134" s="31">
        <f>-17+2</f>
        <v>-15</v>
      </c>
      <c r="G134" s="31">
        <v>25082</v>
      </c>
      <c r="H134" s="31">
        <f>-2015+61</f>
        <v>-1954</v>
      </c>
      <c r="I134" s="31" t="s">
        <v>67</v>
      </c>
      <c r="J134" s="31">
        <v>-7610</v>
      </c>
      <c r="K134" s="31">
        <f t="shared" si="57"/>
        <v>205511</v>
      </c>
      <c r="O134" s="1" t="s">
        <v>162</v>
      </c>
      <c r="P134" s="9">
        <f t="shared" ref="P134:AB134" si="60">(P6-P115)</f>
        <v>5419.48</v>
      </c>
      <c r="Q134" s="9">
        <f t="shared" si="60"/>
        <v>881.63000000000011</v>
      </c>
      <c r="R134" s="9">
        <f t="shared" si="60"/>
        <v>403.05000000000018</v>
      </c>
      <c r="S134" s="9">
        <f t="shared" si="60"/>
        <v>-2335.3200000000006</v>
      </c>
      <c r="T134" s="9">
        <f t="shared" si="60"/>
        <v>948.49000000000024</v>
      </c>
      <c r="U134" s="9">
        <f t="shared" si="60"/>
        <v>14754.865</v>
      </c>
      <c r="V134" s="9">
        <f t="shared" si="60"/>
        <v>5306.66</v>
      </c>
      <c r="W134" s="9">
        <f t="shared" si="60"/>
        <v>-3396.6100000000006</v>
      </c>
      <c r="X134" s="9">
        <f t="shared" si="60"/>
        <v>-5299.9349999999995</v>
      </c>
      <c r="Y134" s="9">
        <f t="shared" si="60"/>
        <v>-2540.6049999999996</v>
      </c>
      <c r="Z134" s="9">
        <f t="shared" si="60"/>
        <v>-2295.1949999999997</v>
      </c>
      <c r="AA134" s="9">
        <f t="shared" si="60"/>
        <v>84675.494999999995</v>
      </c>
      <c r="AB134" s="9">
        <f t="shared" si="60"/>
        <v>-7830.9999999999982</v>
      </c>
    </row>
    <row r="135" spans="1:33" ht="15" x14ac:dyDescent="0.25">
      <c r="A135" s="30">
        <v>2015</v>
      </c>
      <c r="B135" s="1" t="s">
        <v>163</v>
      </c>
      <c r="C135" s="31">
        <v>405220</v>
      </c>
      <c r="D135" s="31"/>
      <c r="E135" s="31">
        <v>32761</v>
      </c>
      <c r="F135" s="31">
        <f>-27329+18619</f>
        <v>-8710</v>
      </c>
      <c r="G135" s="31">
        <v>19382</v>
      </c>
      <c r="H135" s="31">
        <f>-1758+1712</f>
        <v>-46</v>
      </c>
      <c r="I135" s="31" t="s">
        <v>67</v>
      </c>
      <c r="J135" s="31">
        <v>-54222</v>
      </c>
      <c r="K135" s="31">
        <f t="shared" si="57"/>
        <v>394385</v>
      </c>
      <c r="L135" s="33"/>
      <c r="O135" s="1" t="s">
        <v>161</v>
      </c>
      <c r="P135" s="9">
        <f t="shared" ref="P135:AB135" si="61">(P7-P116)</f>
        <v>8.0950000000000273</v>
      </c>
      <c r="Q135" s="9">
        <f t="shared" si="61"/>
        <v>193.90000000000009</v>
      </c>
      <c r="R135" s="9">
        <f t="shared" si="61"/>
        <v>16.180000000000064</v>
      </c>
      <c r="S135" s="9">
        <f t="shared" si="61"/>
        <v>558.05000000000007</v>
      </c>
      <c r="T135" s="9">
        <f t="shared" si="61"/>
        <v>-87.164999999999964</v>
      </c>
      <c r="U135" s="9">
        <f t="shared" si="61"/>
        <v>1380.3150000000001</v>
      </c>
      <c r="V135" s="9">
        <f t="shared" si="61"/>
        <v>834.81499999999983</v>
      </c>
      <c r="W135" s="9">
        <f t="shared" si="61"/>
        <v>1522.575</v>
      </c>
      <c r="X135" s="9">
        <f t="shared" si="61"/>
        <v>1013.6699999999998</v>
      </c>
      <c r="Y135" s="9">
        <f t="shared" si="61"/>
        <v>2347.1999999999998</v>
      </c>
      <c r="Z135" s="9">
        <f t="shared" si="61"/>
        <v>4106.4799999999996</v>
      </c>
      <c r="AA135" s="9">
        <f t="shared" si="61"/>
        <v>4433.7099999999991</v>
      </c>
      <c r="AB135" s="9">
        <f t="shared" si="61"/>
        <v>1957.6299999999992</v>
      </c>
    </row>
    <row r="136" spans="1:33" ht="15" x14ac:dyDescent="0.25">
      <c r="A136" s="30">
        <v>2015</v>
      </c>
      <c r="B136" s="1" t="s">
        <v>162</v>
      </c>
      <c r="C136" s="31">
        <v>23039</v>
      </c>
      <c r="D136" s="31"/>
      <c r="E136" s="31">
        <v>2912</v>
      </c>
      <c r="F136" s="31">
        <f>-1902+1255</f>
        <v>-647</v>
      </c>
      <c r="G136" s="31">
        <v>679</v>
      </c>
      <c r="H136" s="31" t="s">
        <v>67</v>
      </c>
      <c r="I136" s="31" t="s">
        <v>67</v>
      </c>
      <c r="J136" s="31">
        <v>-2264</v>
      </c>
      <c r="K136" s="31">
        <f t="shared" si="57"/>
        <v>23719</v>
      </c>
      <c r="O136" s="1" t="s">
        <v>160</v>
      </c>
      <c r="P136" s="9">
        <f t="shared" ref="P136:AB136" si="62">(P8-P117)</f>
        <v>808.45999999999992</v>
      </c>
      <c r="Q136" s="9">
        <f t="shared" si="62"/>
        <v>1008.6799999999998</v>
      </c>
      <c r="R136" s="9">
        <f t="shared" si="62"/>
        <v>-95.705000000000155</v>
      </c>
      <c r="S136" s="9">
        <f t="shared" si="62"/>
        <v>-420.47500000000014</v>
      </c>
      <c r="T136" s="9">
        <f t="shared" si="62"/>
        <v>195.93499999999995</v>
      </c>
      <c r="U136" s="9">
        <f t="shared" si="62"/>
        <v>2464.9899999999998</v>
      </c>
      <c r="V136" s="9">
        <f t="shared" si="62"/>
        <v>3931.2249999999999</v>
      </c>
      <c r="W136" s="9">
        <f t="shared" si="62"/>
        <v>5053.125</v>
      </c>
      <c r="X136" s="9">
        <f t="shared" si="62"/>
        <v>9822.0349999999999</v>
      </c>
      <c r="Y136" s="9">
        <f t="shared" si="62"/>
        <v>4303.7450000000008</v>
      </c>
      <c r="Z136" s="9">
        <f t="shared" si="62"/>
        <v>3949.2749999999978</v>
      </c>
      <c r="AA136" s="9">
        <f t="shared" si="62"/>
        <v>-1166.7850000000017</v>
      </c>
      <c r="AB136" s="9">
        <f t="shared" si="62"/>
        <v>-5425.7950000000001</v>
      </c>
    </row>
    <row r="137" spans="1:33" ht="15" x14ac:dyDescent="0.25">
      <c r="A137" s="30">
        <v>2015</v>
      </c>
      <c r="B137" s="1" t="s">
        <v>161</v>
      </c>
      <c r="C137" s="31">
        <v>8131</v>
      </c>
      <c r="D137" s="31"/>
      <c r="E137" s="31">
        <v>902</v>
      </c>
      <c r="F137" s="31">
        <f>-434+282</f>
        <v>-152</v>
      </c>
      <c r="G137" s="31">
        <v>-28</v>
      </c>
      <c r="H137" s="31" t="s">
        <v>67</v>
      </c>
      <c r="I137" s="31" t="s">
        <v>67</v>
      </c>
      <c r="J137" s="31">
        <v>-800</v>
      </c>
      <c r="K137" s="31">
        <f t="shared" si="57"/>
        <v>8053</v>
      </c>
      <c r="L137" s="33"/>
      <c r="O137" s="1" t="s">
        <v>158</v>
      </c>
      <c r="P137" s="9">
        <f t="shared" ref="P137:AB137" si="63">P11</f>
        <v>36808</v>
      </c>
      <c r="Q137" s="9">
        <f t="shared" si="63"/>
        <v>55479</v>
      </c>
      <c r="R137" s="9">
        <f t="shared" si="63"/>
        <v>39378</v>
      </c>
      <c r="S137" s="9">
        <f t="shared" si="63"/>
        <v>19725</v>
      </c>
      <c r="T137" s="9">
        <f t="shared" si="63"/>
        <v>48641</v>
      </c>
      <c r="U137" s="9">
        <f t="shared" si="63"/>
        <v>72483</v>
      </c>
      <c r="V137" s="9">
        <f t="shared" si="63"/>
        <v>86519</v>
      </c>
      <c r="W137" s="9">
        <f t="shared" si="63"/>
        <v>27170</v>
      </c>
      <c r="X137" s="9">
        <f t="shared" si="63"/>
        <v>75039</v>
      </c>
      <c r="Y137" s="9">
        <f t="shared" si="63"/>
        <v>142892</v>
      </c>
      <c r="Z137" s="9">
        <f t="shared" si="63"/>
        <v>245249</v>
      </c>
      <c r="AA137" s="9">
        <f t="shared" si="63"/>
        <v>463647</v>
      </c>
      <c r="AB137" s="9">
        <f t="shared" si="63"/>
        <v>348998</v>
      </c>
    </row>
    <row r="138" spans="1:33" ht="15" x14ac:dyDescent="0.25">
      <c r="A138" s="30">
        <v>2015</v>
      </c>
      <c r="B138" s="1" t="s">
        <v>160</v>
      </c>
      <c r="C138" s="31">
        <v>7902</v>
      </c>
      <c r="D138" s="31"/>
      <c r="E138" s="31">
        <v>1537</v>
      </c>
      <c r="F138" s="31">
        <f>-304+323</f>
        <v>19</v>
      </c>
      <c r="G138" s="31">
        <v>36</v>
      </c>
      <c r="H138" s="31" t="s">
        <v>67</v>
      </c>
      <c r="I138" s="31" t="s">
        <v>67</v>
      </c>
      <c r="J138" s="31">
        <v>-1546</v>
      </c>
      <c r="K138" s="31">
        <f t="shared" si="57"/>
        <v>7948</v>
      </c>
      <c r="O138" s="21" t="s">
        <v>275</v>
      </c>
      <c r="P138" s="25">
        <f t="shared" ref="P138:AB138" si="64">SUM(P130:P137)</f>
        <v>134279.82500000001</v>
      </c>
      <c r="Q138" s="25">
        <f t="shared" si="64"/>
        <v>81702.11</v>
      </c>
      <c r="R138" s="25">
        <f t="shared" si="64"/>
        <v>88479.725000000006</v>
      </c>
      <c r="S138" s="25">
        <f t="shared" si="64"/>
        <v>-28103.25499999999</v>
      </c>
      <c r="T138" s="25">
        <f t="shared" si="64"/>
        <v>29656.079999999994</v>
      </c>
      <c r="U138" s="25">
        <f t="shared" si="64"/>
        <v>141891.005</v>
      </c>
      <c r="V138" s="25">
        <f t="shared" si="64"/>
        <v>137263.97500000001</v>
      </c>
      <c r="W138" s="25">
        <f t="shared" si="64"/>
        <v>63465.284999999989</v>
      </c>
      <c r="X138" s="25">
        <f t="shared" si="64"/>
        <v>233590.61</v>
      </c>
      <c r="Y138" s="25">
        <f t="shared" si="64"/>
        <v>350690.25</v>
      </c>
      <c r="Z138" s="25">
        <f t="shared" si="64"/>
        <v>711872.25</v>
      </c>
      <c r="AA138" s="25">
        <f t="shared" si="64"/>
        <v>755072.49</v>
      </c>
      <c r="AB138" s="25">
        <f t="shared" si="64"/>
        <v>1348397.24</v>
      </c>
      <c r="AC138" s="25">
        <f>'Planted Area'!P36*'Planted Area'!P44</f>
        <v>346599.97200000007</v>
      </c>
      <c r="AD138" s="25">
        <f>'Planted Area'!Q36*'Planted Area'!Q44</f>
        <v>363929.97059999965</v>
      </c>
      <c r="AE138" s="25">
        <f>'Planted Area'!R36*'Planted Area'!R44</f>
        <v>382126.46913000051</v>
      </c>
      <c r="AF138" s="25">
        <f>'Planted Area'!S36*'Planted Area'!S44</f>
        <v>401232.79258649983</v>
      </c>
      <c r="AG138" s="25">
        <f>'Planted Area'!S35*DCF!B31*'Planted Area'!S44</f>
        <v>252776.65932949499</v>
      </c>
    </row>
    <row r="139" spans="1:33" ht="15" x14ac:dyDescent="0.25">
      <c r="A139" s="30">
        <v>2015</v>
      </c>
      <c r="B139" s="1" t="s">
        <v>111</v>
      </c>
      <c r="C139" s="31">
        <v>5202</v>
      </c>
      <c r="D139" s="31"/>
      <c r="E139" s="31">
        <v>233</v>
      </c>
      <c r="F139" s="31">
        <v>-57</v>
      </c>
      <c r="G139" s="31" t="s">
        <v>67</v>
      </c>
      <c r="H139" s="31" t="s">
        <v>67</v>
      </c>
      <c r="I139" s="31" t="s">
        <v>67</v>
      </c>
      <c r="J139" s="31" t="s">
        <v>67</v>
      </c>
      <c r="K139" s="31">
        <f t="shared" si="57"/>
        <v>5378</v>
      </c>
      <c r="L139" s="33"/>
      <c r="O139" s="8" t="s">
        <v>295</v>
      </c>
      <c r="P139" s="15">
        <f t="shared" ref="P139:AB139" si="65">P138/P92</f>
        <v>5.1754153191413924E-2</v>
      </c>
      <c r="Q139" s="15">
        <f t="shared" si="65"/>
        <v>3.0425204526944975E-2</v>
      </c>
      <c r="R139" s="15">
        <f t="shared" si="65"/>
        <v>3.2131692776774468E-2</v>
      </c>
      <c r="S139" s="15">
        <f t="shared" si="65"/>
        <v>-1.016511332065192E-2</v>
      </c>
      <c r="T139" s="15">
        <f t="shared" si="65"/>
        <v>1.1040719804144649E-2</v>
      </c>
      <c r="U139" s="15">
        <f t="shared" si="65"/>
        <v>5.3584681815589792E-2</v>
      </c>
      <c r="V139" s="15">
        <f t="shared" si="65"/>
        <v>4.9299896022828291E-2</v>
      </c>
      <c r="W139" s="15">
        <f t="shared" si="65"/>
        <v>2.2044295757990041E-2</v>
      </c>
      <c r="X139" s="15">
        <f t="shared" si="65"/>
        <v>7.9332671974742933E-2</v>
      </c>
      <c r="Y139" s="15">
        <f t="shared" si="65"/>
        <v>0.10320298652497026</v>
      </c>
      <c r="Z139" s="15">
        <f t="shared" si="65"/>
        <v>0.190691372238497</v>
      </c>
      <c r="AA139" s="15">
        <f t="shared" si="65"/>
        <v>0.17177556798793001</v>
      </c>
      <c r="AB139" s="15">
        <f t="shared" si="65"/>
        <v>0.24889529689555825</v>
      </c>
    </row>
    <row r="140" spans="1:33" ht="15" x14ac:dyDescent="0.25">
      <c r="A140" s="30">
        <v>2015</v>
      </c>
      <c r="B140" s="1" t="s">
        <v>159</v>
      </c>
      <c r="C140" s="31">
        <v>1645</v>
      </c>
      <c r="D140" s="31"/>
      <c r="E140" s="31" t="s">
        <v>67</v>
      </c>
      <c r="F140" s="31" t="s">
        <v>67</v>
      </c>
      <c r="G140" s="31">
        <v>-1645</v>
      </c>
      <c r="H140" s="31" t="s">
        <v>67</v>
      </c>
      <c r="I140" s="31" t="s">
        <v>67</v>
      </c>
      <c r="J140" s="31" t="s">
        <v>67</v>
      </c>
      <c r="K140" s="31">
        <f t="shared" si="57"/>
        <v>0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33" ht="15" x14ac:dyDescent="0.25">
      <c r="A141" s="30">
        <v>2015</v>
      </c>
      <c r="B141" s="1" t="s">
        <v>158</v>
      </c>
      <c r="C141" s="31">
        <v>61613</v>
      </c>
      <c r="D141" s="31"/>
      <c r="E141" s="31">
        <v>39378</v>
      </c>
      <c r="F141" s="31">
        <v>-591</v>
      </c>
      <c r="G141" s="31">
        <v>-43603</v>
      </c>
      <c r="H141" s="31" t="s">
        <v>67</v>
      </c>
      <c r="I141" s="31" t="s">
        <v>67</v>
      </c>
      <c r="J141" s="31" t="s">
        <v>67</v>
      </c>
      <c r="K141" s="31">
        <f t="shared" si="57"/>
        <v>56797</v>
      </c>
      <c r="L141" s="3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33" ht="15" x14ac:dyDescent="0.25">
      <c r="A142" s="30">
        <v>2015</v>
      </c>
      <c r="B142" s="1" t="s">
        <v>157</v>
      </c>
      <c r="C142" s="31">
        <v>5848</v>
      </c>
      <c r="D142" s="31"/>
      <c r="E142" s="31" t="s">
        <v>67</v>
      </c>
      <c r="F142" s="31">
        <v>-1609</v>
      </c>
      <c r="G142" s="31" t="s">
        <v>67</v>
      </c>
      <c r="H142" s="31" t="s">
        <v>67</v>
      </c>
      <c r="I142" s="31" t="s">
        <v>67</v>
      </c>
      <c r="J142" s="31" t="s">
        <v>67</v>
      </c>
      <c r="K142" s="31">
        <f t="shared" si="57"/>
        <v>4239</v>
      </c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 spans="1:33" ht="15" x14ac:dyDescent="0.25">
      <c r="A143" s="30">
        <v>2015</v>
      </c>
      <c r="B143" s="21" t="s">
        <v>150</v>
      </c>
      <c r="C143" s="29">
        <f t="shared" ref="C143:K143" si="66">SUM(C132:C142)</f>
        <v>2753659</v>
      </c>
      <c r="D143" s="29">
        <f t="shared" si="66"/>
        <v>0</v>
      </c>
      <c r="E143" s="29">
        <f t="shared" si="66"/>
        <v>199017</v>
      </c>
      <c r="F143" s="29">
        <f t="shared" si="66"/>
        <v>-12636</v>
      </c>
      <c r="G143" s="29">
        <f t="shared" si="66"/>
        <v>0</v>
      </c>
      <c r="H143" s="29">
        <f t="shared" si="66"/>
        <v>-73754</v>
      </c>
      <c r="I143" s="29">
        <f t="shared" si="66"/>
        <v>0</v>
      </c>
      <c r="J143" s="29">
        <f t="shared" si="66"/>
        <v>-101609</v>
      </c>
      <c r="K143" s="29">
        <f t="shared" si="66"/>
        <v>2764677</v>
      </c>
      <c r="L143" s="9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33" ht="15" x14ac:dyDescent="0.25">
      <c r="A144" s="17"/>
      <c r="C144" s="3"/>
      <c r="D144" s="3"/>
      <c r="E144" s="3"/>
      <c r="F144" s="3"/>
      <c r="G144" s="3"/>
      <c r="H144" s="3"/>
      <c r="I144" s="3"/>
      <c r="J144" s="3"/>
      <c r="K144" s="3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 spans="1:28" ht="15" x14ac:dyDescent="0.25">
      <c r="A145" s="30">
        <v>2014</v>
      </c>
      <c r="B145" s="1" t="s">
        <v>166</v>
      </c>
      <c r="C145" s="31">
        <v>1855513</v>
      </c>
      <c r="D145" s="31"/>
      <c r="E145" s="31">
        <v>1321</v>
      </c>
      <c r="F145" s="31">
        <v>-10097</v>
      </c>
      <c r="G145" s="31" t="s">
        <v>67</v>
      </c>
      <c r="H145" s="31" t="s">
        <v>67</v>
      </c>
      <c r="I145" s="31" t="s">
        <v>67</v>
      </c>
      <c r="J145" s="31" t="s">
        <v>67</v>
      </c>
      <c r="K145" s="31">
        <f t="shared" ref="K145:K154" si="67">SUM(C145:J145)</f>
        <v>1846737</v>
      </c>
    </row>
    <row r="146" spans="1:28" ht="15" x14ac:dyDescent="0.25">
      <c r="A146" s="30">
        <v>2014</v>
      </c>
      <c r="B146" s="1" t="s">
        <v>165</v>
      </c>
      <c r="C146" s="31">
        <v>157308</v>
      </c>
      <c r="D146" s="31"/>
      <c r="E146" s="31">
        <v>76203</v>
      </c>
      <c r="F146" s="31">
        <f>-526+6</f>
        <v>-520</v>
      </c>
      <c r="G146" s="31" t="s">
        <v>67</v>
      </c>
      <c r="H146" s="31" t="s">
        <v>67</v>
      </c>
      <c r="I146" s="31" t="s">
        <v>67</v>
      </c>
      <c r="J146" s="31">
        <v>-34476</v>
      </c>
      <c r="K146" s="31">
        <f t="shared" si="67"/>
        <v>198515</v>
      </c>
      <c r="U146" s="6"/>
    </row>
    <row r="147" spans="1:28" ht="15" x14ac:dyDescent="0.25">
      <c r="A147" s="30">
        <v>2014</v>
      </c>
      <c r="B147" s="1" t="s">
        <v>164</v>
      </c>
      <c r="C147" s="31">
        <v>178280</v>
      </c>
      <c r="D147" s="31"/>
      <c r="E147" s="31">
        <v>680</v>
      </c>
      <c r="F147" s="31">
        <f>-316+128</f>
        <v>-188</v>
      </c>
      <c r="G147" s="31">
        <v>17777</v>
      </c>
      <c r="H147" s="31" t="s">
        <v>67</v>
      </c>
      <c r="I147" s="31" t="s">
        <v>67</v>
      </c>
      <c r="J147" s="31">
        <v>-6742</v>
      </c>
      <c r="K147" s="31">
        <f t="shared" si="67"/>
        <v>189807</v>
      </c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 spans="1:28" ht="15" x14ac:dyDescent="0.25">
      <c r="A148" s="30">
        <v>2014</v>
      </c>
      <c r="B148" s="1" t="s">
        <v>163</v>
      </c>
      <c r="C148" s="31">
        <v>410435</v>
      </c>
      <c r="D148" s="31"/>
      <c r="E148" s="31">
        <v>51291</v>
      </c>
      <c r="F148" s="31">
        <f>-29058+16466</f>
        <v>-12592</v>
      </c>
      <c r="G148" s="31">
        <v>12123</v>
      </c>
      <c r="H148" s="31" t="s">
        <v>67</v>
      </c>
      <c r="I148" s="31" t="s">
        <v>67</v>
      </c>
      <c r="J148" s="31">
        <v>-56037</v>
      </c>
      <c r="K148" s="31">
        <f t="shared" si="67"/>
        <v>405220</v>
      </c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 spans="1:28" ht="15" x14ac:dyDescent="0.25">
      <c r="A149" s="30">
        <v>2014</v>
      </c>
      <c r="B149" s="1" t="s">
        <v>162</v>
      </c>
      <c r="C149" s="31">
        <v>22409</v>
      </c>
      <c r="D149" s="31"/>
      <c r="E149" s="31">
        <v>3456</v>
      </c>
      <c r="F149" s="31">
        <f>-2118+1575</f>
        <v>-543</v>
      </c>
      <c r="G149" s="31">
        <v>50</v>
      </c>
      <c r="H149" s="31" t="s">
        <v>67</v>
      </c>
      <c r="I149" s="31" t="s">
        <v>67</v>
      </c>
      <c r="J149" s="31">
        <v>-2333</v>
      </c>
      <c r="K149" s="31">
        <f t="shared" si="67"/>
        <v>23039</v>
      </c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 spans="1:28" ht="15" x14ac:dyDescent="0.25">
      <c r="A150" s="30">
        <v>2014</v>
      </c>
      <c r="B150" s="1" t="s">
        <v>161</v>
      </c>
      <c r="C150" s="31">
        <v>7879</v>
      </c>
      <c r="D150" s="31"/>
      <c r="E150" s="31">
        <v>1062</v>
      </c>
      <c r="F150" s="31">
        <f>-119+79</f>
        <v>-40</v>
      </c>
      <c r="G150" s="31">
        <v>14</v>
      </c>
      <c r="H150" s="31" t="s">
        <v>67</v>
      </c>
      <c r="I150" s="31" t="s">
        <v>67</v>
      </c>
      <c r="J150" s="31">
        <v>-784</v>
      </c>
      <c r="K150" s="31">
        <f t="shared" si="67"/>
        <v>8131</v>
      </c>
      <c r="T150" s="4"/>
    </row>
    <row r="151" spans="1:28" ht="15" x14ac:dyDescent="0.25">
      <c r="A151" s="30">
        <v>2014</v>
      </c>
      <c r="B151" s="1" t="s">
        <v>160</v>
      </c>
      <c r="C151" s="31">
        <v>6850</v>
      </c>
      <c r="D151" s="31"/>
      <c r="E151" s="31">
        <v>2364</v>
      </c>
      <c r="F151" s="31">
        <f>-183+149</f>
        <v>-34</v>
      </c>
      <c r="G151" s="31">
        <v>-3</v>
      </c>
      <c r="H151" s="31" t="s">
        <v>67</v>
      </c>
      <c r="I151" s="31" t="s">
        <v>67</v>
      </c>
      <c r="J151" s="31">
        <v>-1275</v>
      </c>
      <c r="K151" s="31">
        <f t="shared" si="67"/>
        <v>7902</v>
      </c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spans="1:28" ht="15" x14ac:dyDescent="0.25">
      <c r="A152" s="30">
        <v>2014</v>
      </c>
      <c r="B152" s="1" t="s">
        <v>111</v>
      </c>
      <c r="C152" s="31">
        <v>4936</v>
      </c>
      <c r="D152" s="31"/>
      <c r="E152" s="31">
        <v>358</v>
      </c>
      <c r="F152" s="31">
        <v>-92</v>
      </c>
      <c r="G152" s="31" t="s">
        <v>67</v>
      </c>
      <c r="H152" s="31" t="s">
        <v>67</v>
      </c>
      <c r="I152" s="31" t="s">
        <v>67</v>
      </c>
      <c r="J152" s="31" t="s">
        <v>67</v>
      </c>
      <c r="K152" s="31">
        <f t="shared" si="67"/>
        <v>5202</v>
      </c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spans="1:28" ht="15" x14ac:dyDescent="0.25">
      <c r="A153" s="30">
        <v>2014</v>
      </c>
      <c r="B153" s="1" t="s">
        <v>159</v>
      </c>
      <c r="C153" s="31">
        <v>5638</v>
      </c>
      <c r="D153" s="31"/>
      <c r="E153" s="31">
        <v>3252</v>
      </c>
      <c r="F153" s="31">
        <v>-7245</v>
      </c>
      <c r="G153" s="31" t="s">
        <v>67</v>
      </c>
      <c r="H153" s="31" t="s">
        <v>67</v>
      </c>
      <c r="I153" s="31" t="s">
        <v>67</v>
      </c>
      <c r="J153" s="31" t="s">
        <v>67</v>
      </c>
      <c r="K153" s="31">
        <f t="shared" si="67"/>
        <v>1645</v>
      </c>
      <c r="T153" s="4"/>
    </row>
    <row r="154" spans="1:28" ht="15" x14ac:dyDescent="0.25">
      <c r="A154" s="30">
        <v>2014</v>
      </c>
      <c r="B154" s="1" t="s">
        <v>158</v>
      </c>
      <c r="C154" s="31">
        <v>36095</v>
      </c>
      <c r="D154" s="31"/>
      <c r="E154" s="31">
        <v>55479</v>
      </c>
      <c r="F154" s="31" t="s">
        <v>67</v>
      </c>
      <c r="G154" s="31">
        <v>-29961</v>
      </c>
      <c r="H154" s="31" t="s">
        <v>67</v>
      </c>
      <c r="I154" s="31" t="s">
        <v>67</v>
      </c>
      <c r="J154" s="31" t="s">
        <v>67</v>
      </c>
      <c r="K154" s="31">
        <f t="shared" si="67"/>
        <v>61613</v>
      </c>
      <c r="T154" s="4"/>
    </row>
    <row r="155" spans="1:28" ht="15" x14ac:dyDescent="0.25">
      <c r="A155" s="30">
        <v>2014</v>
      </c>
      <c r="B155" s="1" t="s">
        <v>157</v>
      </c>
      <c r="C155" s="31"/>
      <c r="D155" s="31"/>
      <c r="E155" s="31"/>
      <c r="F155" s="31"/>
      <c r="G155" s="31"/>
      <c r="H155" s="31"/>
      <c r="I155" s="31"/>
      <c r="J155" s="31"/>
      <c r="K155" s="31"/>
      <c r="T155" s="4"/>
    </row>
    <row r="156" spans="1:28" x14ac:dyDescent="0.2">
      <c r="A156" s="30">
        <v>2014</v>
      </c>
      <c r="B156" s="21" t="s">
        <v>150</v>
      </c>
      <c r="C156" s="29">
        <f t="shared" ref="C156:K156" si="68">SUM(C145:C154)</f>
        <v>2685343</v>
      </c>
      <c r="D156" s="29">
        <f t="shared" si="68"/>
        <v>0</v>
      </c>
      <c r="E156" s="29">
        <f t="shared" si="68"/>
        <v>195466</v>
      </c>
      <c r="F156" s="29">
        <f t="shared" si="68"/>
        <v>-31351</v>
      </c>
      <c r="G156" s="29">
        <f t="shared" si="68"/>
        <v>0</v>
      </c>
      <c r="H156" s="29">
        <f t="shared" si="68"/>
        <v>0</v>
      </c>
      <c r="I156" s="29">
        <f t="shared" si="68"/>
        <v>0</v>
      </c>
      <c r="J156" s="29">
        <f t="shared" si="68"/>
        <v>-101647</v>
      </c>
      <c r="K156" s="29">
        <f t="shared" si="68"/>
        <v>2747811</v>
      </c>
      <c r="L156" s="9"/>
      <c r="T156" s="4"/>
    </row>
    <row r="157" spans="1:28" ht="15" x14ac:dyDescent="0.25">
      <c r="A157" s="17"/>
      <c r="C157" s="3"/>
      <c r="D157" s="3"/>
      <c r="E157" s="3"/>
      <c r="F157" s="3"/>
      <c r="G157" s="3"/>
      <c r="H157" s="3"/>
      <c r="I157" s="3"/>
      <c r="J157" s="3"/>
      <c r="K157" s="3"/>
      <c r="T157" s="4"/>
    </row>
    <row r="158" spans="1:28" ht="15" x14ac:dyDescent="0.25">
      <c r="A158" s="30">
        <v>2013</v>
      </c>
      <c r="B158" s="1" t="s">
        <v>166</v>
      </c>
      <c r="C158" s="31">
        <v>1825873</v>
      </c>
      <c r="D158" s="31"/>
      <c r="E158" s="31">
        <v>53468</v>
      </c>
      <c r="F158" s="31">
        <v>-23828</v>
      </c>
      <c r="G158" s="31" t="s">
        <v>67</v>
      </c>
      <c r="H158" s="31" t="s">
        <v>67</v>
      </c>
      <c r="I158" s="31" t="s">
        <v>67</v>
      </c>
      <c r="J158" s="31" t="s">
        <v>67</v>
      </c>
      <c r="K158" s="31">
        <f t="shared" ref="K158:K167" si="69">SUM(C158:J158)</f>
        <v>1855513</v>
      </c>
      <c r="T158" s="4"/>
    </row>
    <row r="159" spans="1:28" ht="15" x14ac:dyDescent="0.25">
      <c r="A159" s="30">
        <v>2013</v>
      </c>
      <c r="B159" s="1" t="s">
        <v>165</v>
      </c>
      <c r="C159" s="31">
        <v>146161</v>
      </c>
      <c r="D159" s="31"/>
      <c r="E159" s="31">
        <v>64018</v>
      </c>
      <c r="F159" s="31">
        <f>-5421+254</f>
        <v>-5167</v>
      </c>
      <c r="G159" s="31">
        <v>58</v>
      </c>
      <c r="H159" s="31" t="s">
        <v>67</v>
      </c>
      <c r="I159" s="31" t="s">
        <v>67</v>
      </c>
      <c r="J159" s="31">
        <v>-47762</v>
      </c>
      <c r="K159" s="31">
        <f t="shared" si="69"/>
        <v>157308</v>
      </c>
    </row>
    <row r="160" spans="1:28" ht="15" x14ac:dyDescent="0.25">
      <c r="A160" s="30">
        <v>2013</v>
      </c>
      <c r="B160" s="1" t="s">
        <v>164</v>
      </c>
      <c r="C160" s="31">
        <v>165657</v>
      </c>
      <c r="D160" s="31"/>
      <c r="E160" s="31">
        <v>475</v>
      </c>
      <c r="F160" s="31">
        <f>-175+10</f>
        <v>-165</v>
      </c>
      <c r="G160" s="31">
        <v>17447</v>
      </c>
      <c r="H160" s="31" t="s">
        <v>67</v>
      </c>
      <c r="I160" s="31" t="s">
        <v>67</v>
      </c>
      <c r="J160" s="31">
        <v>-5134</v>
      </c>
      <c r="K160" s="31">
        <f t="shared" si="69"/>
        <v>178280</v>
      </c>
    </row>
    <row r="161" spans="1:12" ht="15" x14ac:dyDescent="0.25">
      <c r="A161" s="30">
        <v>2013</v>
      </c>
      <c r="B161" s="1" t="s">
        <v>163</v>
      </c>
      <c r="C161" s="31">
        <v>393680</v>
      </c>
      <c r="D161" s="31"/>
      <c r="E161" s="31">
        <v>80753</v>
      </c>
      <c r="F161" s="31">
        <f>-34203+16790</f>
        <v>-17413</v>
      </c>
      <c r="G161" s="31">
        <v>216</v>
      </c>
      <c r="H161" s="31" t="s">
        <v>67</v>
      </c>
      <c r="I161" s="31" t="s">
        <v>67</v>
      </c>
      <c r="J161" s="31">
        <v>-46801</v>
      </c>
      <c r="K161" s="31">
        <f t="shared" si="69"/>
        <v>410435</v>
      </c>
    </row>
    <row r="162" spans="1:12" ht="15" x14ac:dyDescent="0.25">
      <c r="A162" s="30">
        <v>2013</v>
      </c>
      <c r="B162" s="1" t="s">
        <v>162</v>
      </c>
      <c r="C162" s="31">
        <v>17398</v>
      </c>
      <c r="D162" s="31"/>
      <c r="E162" s="31">
        <v>7508</v>
      </c>
      <c r="F162" s="31">
        <f>-1900+1280</f>
        <v>-620</v>
      </c>
      <c r="G162" s="31" t="s">
        <v>67</v>
      </c>
      <c r="H162" s="31" t="s">
        <v>67</v>
      </c>
      <c r="I162" s="31" t="s">
        <v>67</v>
      </c>
      <c r="J162" s="31">
        <v>-1877</v>
      </c>
      <c r="K162" s="31">
        <f t="shared" si="69"/>
        <v>22409</v>
      </c>
    </row>
    <row r="163" spans="1:12" ht="15" x14ac:dyDescent="0.25">
      <c r="A163" s="30">
        <v>2013</v>
      </c>
      <c r="B163" s="1" t="s">
        <v>161</v>
      </c>
      <c r="C163" s="31">
        <v>7795</v>
      </c>
      <c r="D163" s="31"/>
      <c r="E163" s="31">
        <v>991</v>
      </c>
      <c r="F163" s="31">
        <f>-81+68</f>
        <v>-13</v>
      </c>
      <c r="G163" s="31">
        <v>6</v>
      </c>
      <c r="H163" s="31" t="s">
        <v>67</v>
      </c>
      <c r="I163" s="31" t="s">
        <v>67</v>
      </c>
      <c r="J163" s="31">
        <v>-900</v>
      </c>
      <c r="K163" s="31">
        <f t="shared" si="69"/>
        <v>7879</v>
      </c>
    </row>
    <row r="164" spans="1:12" ht="15" x14ac:dyDescent="0.25">
      <c r="A164" s="30">
        <v>2013</v>
      </c>
      <c r="B164" s="1" t="s">
        <v>160</v>
      </c>
      <c r="C164" s="31">
        <v>6018</v>
      </c>
      <c r="D164" s="31"/>
      <c r="E164" s="31">
        <v>1672</v>
      </c>
      <c r="F164" s="31">
        <f>-440+396</f>
        <v>-44</v>
      </c>
      <c r="G164" s="31">
        <v>-1</v>
      </c>
      <c r="H164" s="31" t="s">
        <v>67</v>
      </c>
      <c r="I164" s="31" t="s">
        <v>67</v>
      </c>
      <c r="J164" s="31">
        <v>-795</v>
      </c>
      <c r="K164" s="31">
        <f t="shared" si="69"/>
        <v>6850</v>
      </c>
    </row>
    <row r="165" spans="1:12" ht="15" x14ac:dyDescent="0.25">
      <c r="A165" s="30">
        <v>2013</v>
      </c>
      <c r="B165" s="1" t="s">
        <v>111</v>
      </c>
      <c r="C165" s="31">
        <v>4891</v>
      </c>
      <c r="D165" s="31"/>
      <c r="E165" s="31">
        <v>373</v>
      </c>
      <c r="F165" s="31">
        <v>-343</v>
      </c>
      <c r="G165" s="31">
        <v>15</v>
      </c>
      <c r="H165" s="31" t="s">
        <v>67</v>
      </c>
      <c r="I165" s="31" t="s">
        <v>67</v>
      </c>
      <c r="J165" s="31" t="s">
        <v>67</v>
      </c>
      <c r="K165" s="31">
        <f t="shared" si="69"/>
        <v>4936</v>
      </c>
    </row>
    <row r="166" spans="1:12" ht="15" x14ac:dyDescent="0.25">
      <c r="A166" s="30">
        <v>2013</v>
      </c>
      <c r="B166" s="1" t="s">
        <v>159</v>
      </c>
      <c r="C166" s="31">
        <v>9662</v>
      </c>
      <c r="D166" s="31"/>
      <c r="E166" s="31">
        <v>16677</v>
      </c>
      <c r="F166" s="31">
        <v>-20701</v>
      </c>
      <c r="G166" s="31" t="s">
        <v>67</v>
      </c>
      <c r="H166" s="31" t="s">
        <v>67</v>
      </c>
      <c r="I166" s="31" t="s">
        <v>67</v>
      </c>
      <c r="J166" s="31" t="s">
        <v>67</v>
      </c>
      <c r="K166" s="31">
        <f t="shared" si="69"/>
        <v>5638</v>
      </c>
    </row>
    <row r="167" spans="1:12" ht="15" x14ac:dyDescent="0.25">
      <c r="A167" s="30">
        <v>2013</v>
      </c>
      <c r="B167" s="1" t="s">
        <v>158</v>
      </c>
      <c r="C167" s="31">
        <v>17436</v>
      </c>
      <c r="D167" s="31"/>
      <c r="E167" s="31">
        <v>36808</v>
      </c>
      <c r="F167" s="31">
        <v>-408</v>
      </c>
      <c r="G167" s="31">
        <v>-17741</v>
      </c>
      <c r="H167" s="31" t="s">
        <v>67</v>
      </c>
      <c r="I167" s="31" t="s">
        <v>67</v>
      </c>
      <c r="J167" s="31" t="s">
        <v>67</v>
      </c>
      <c r="K167" s="31">
        <f t="shared" si="69"/>
        <v>36095</v>
      </c>
    </row>
    <row r="168" spans="1:12" ht="15" x14ac:dyDescent="0.25">
      <c r="A168" s="30">
        <v>2013</v>
      </c>
      <c r="B168" s="1" t="s">
        <v>157</v>
      </c>
      <c r="C168" s="31"/>
      <c r="D168" s="31"/>
      <c r="E168" s="32"/>
      <c r="F168" s="31"/>
      <c r="G168" s="31"/>
      <c r="H168" s="31"/>
      <c r="I168" s="31"/>
      <c r="J168" s="31"/>
      <c r="K168" s="31"/>
    </row>
    <row r="169" spans="1:12" x14ac:dyDescent="0.2">
      <c r="A169" s="30">
        <v>2013</v>
      </c>
      <c r="B169" s="21" t="s">
        <v>150</v>
      </c>
      <c r="C169" s="29">
        <f t="shared" ref="C169:K169" si="70">SUM(C158:C167)</f>
        <v>2594571</v>
      </c>
      <c r="D169" s="29">
        <f t="shared" si="70"/>
        <v>0</v>
      </c>
      <c r="E169" s="29">
        <f t="shared" si="70"/>
        <v>262743</v>
      </c>
      <c r="F169" s="29">
        <f t="shared" si="70"/>
        <v>-68702</v>
      </c>
      <c r="G169" s="29">
        <f t="shared" si="70"/>
        <v>0</v>
      </c>
      <c r="H169" s="29">
        <f t="shared" si="70"/>
        <v>0</v>
      </c>
      <c r="I169" s="29">
        <f t="shared" si="70"/>
        <v>0</v>
      </c>
      <c r="J169" s="29">
        <f t="shared" si="70"/>
        <v>-103269</v>
      </c>
      <c r="K169" s="29">
        <f t="shared" si="70"/>
        <v>2685343</v>
      </c>
      <c r="L169" s="9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Sheet1</vt:lpstr>
      <vt:lpstr>Cover</vt:lpstr>
      <vt:lpstr>DCF</vt:lpstr>
      <vt:lpstr>Income Statement</vt:lpstr>
      <vt:lpstr>Planted Area</vt:lpstr>
      <vt:lpstr>Income by Crop</vt:lpstr>
      <vt:lpstr>CoE</vt:lpstr>
      <vt:lpstr>Balance Sheet</vt:lpstr>
      <vt:lpstr>▲ PPE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NUNES COUSSEAU</dc:creator>
  <cp:lastModifiedBy>Tiago Cousseau</cp:lastModifiedBy>
  <cp:lastPrinted>2026-05-30T17:53:37Z</cp:lastPrinted>
  <dcterms:created xsi:type="dcterms:W3CDTF">2026-05-25T16:39:29Z</dcterms:created>
  <dcterms:modified xsi:type="dcterms:W3CDTF">2026-05-31T20:08:57Z</dcterms:modified>
</cp:coreProperties>
</file>